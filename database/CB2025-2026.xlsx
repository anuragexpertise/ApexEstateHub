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Apr" sheetId="1" state="visible" r:id="rId2"/>
    <sheet name="May" sheetId="2" state="visible" r:id="rId3"/>
    <sheet name="Jun" sheetId="3" state="visible" r:id="rId4"/>
    <sheet name="Jul" sheetId="4" state="visible" r:id="rId5"/>
    <sheet name="Aug" sheetId="5" state="visible" r:id="rId6"/>
    <sheet name="Sep" sheetId="6" state="visible" r:id="rId7"/>
    <sheet name="Oct" sheetId="7" state="visible" r:id="rId8"/>
    <sheet name="Nov" sheetId="8" state="visible" r:id="rId9"/>
    <sheet name="Dec" sheetId="9" state="visible" r:id="rId10"/>
    <sheet name="Jan" sheetId="10" state="visible" r:id="rId11"/>
    <sheet name="Feb" sheetId="11" state="visible" r:id="rId12"/>
    <sheet name="Mar" sheetId="12" state="visible" r:id="rId13"/>
    <sheet name="Index" sheetId="13" state="visible" r:id="rId14"/>
    <sheet name="BkAc" sheetId="14" state="visible" r:id="rId15"/>
    <sheet name="CiH" sheetId="15" state="visible" r:id="rId16"/>
    <sheet name="CurAs" sheetId="16" state="visible" r:id="rId17"/>
    <sheet name="ICICI" sheetId="17" state="visible" r:id="rId18"/>
    <sheet name="Inst" sheetId="18" state="visible" r:id="rId19"/>
    <sheet name="MedCon" sheetId="19" state="visible" r:id="rId20"/>
    <sheet name="misc" sheetId="20" state="visible" r:id="rId21"/>
    <sheet name="MAs" sheetId="21" state="visible" r:id="rId22"/>
    <sheet name="Pt" sheetId="22" state="visible" r:id="rId23"/>
    <sheet name="Salary" sheetId="23" state="visible" r:id="rId24"/>
    <sheet name="TDStoIT" sheetId="24" state="visible" r:id="rId25"/>
    <sheet name="vehexp" sheetId="25" state="visible" r:id="rId26"/>
    <sheet name="Dep" sheetId="26" state="visible" r:id="rId27"/>
    <sheet name="InExp" sheetId="27" state="visible" r:id="rId28"/>
    <sheet name="CapAc" sheetId="28" state="visible" r:id="rId29"/>
    <sheet name="Bal" sheetId="29" state="visible" r:id="rId30"/>
  </sheets>
  <definedNames>
    <definedName function="false" hidden="false" localSheetId="0" name="_xlnm.Print_Area" vbProcedure="false">Apr!$A$1:$Q$25</definedName>
    <definedName function="false" hidden="false" localSheetId="4" name="_xlnm.Print_Area" vbProcedure="false">Aug!$A$1:$Q$17</definedName>
    <definedName function="false" hidden="false" localSheetId="8" name="_xlnm.Print_Area" vbProcedure="false">Dec!$A$1:$Q$13</definedName>
    <definedName function="false" hidden="false" localSheetId="10" name="_xlnm.Print_Area" vbProcedure="false">Feb!$A$1:$Q$17</definedName>
    <definedName function="false" hidden="false" localSheetId="9" name="_xlnm.Print_Area" vbProcedure="false">Jan!$A$1:$Q$19</definedName>
    <definedName function="false" hidden="false" localSheetId="3" name="_xlnm.Print_Area" vbProcedure="false">Jul!$A$1:$Q$17</definedName>
    <definedName function="false" hidden="false" localSheetId="2" name="_xlnm.Print_Area" vbProcedure="false">Jun!$A$1:$Q$18</definedName>
    <definedName function="false" hidden="false" localSheetId="11" name="_xlnm.Print_Area" vbProcedure="false">Mar!$A$1:$Q$16</definedName>
    <definedName function="false" hidden="false" localSheetId="1" name="_xlnm.Print_Area" vbProcedure="false">May!$A$1:$Q$17</definedName>
    <definedName function="false" hidden="false" localSheetId="7" name="_xlnm.Print_Area" vbProcedure="false">Nov!$A$1:$Q$15</definedName>
    <definedName function="false" hidden="false" localSheetId="6" name="_xlnm.Print_Area" vbProcedure="false">Oct!$A$1:$Q$17</definedName>
    <definedName function="false" hidden="false" localSheetId="5" name="_xlnm.Print_Area" vbProcedure="false">Sep!$A$1:$Q$10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<sst xmlns="http://schemas.openxmlformats.org/spreadsheetml/2006/main" count="955" uniqueCount="143">
  <si>
    <t xml:space="preserve">CB2025-2026.xlsx</t>
  </si>
  <si>
    <t xml:space="preserve">Anurag-Professional</t>
  </si>
  <si>
    <t xml:space="preserve">Status:</t>
  </si>
  <si>
    <t xml:space="preserve">Individual</t>
  </si>
  <si>
    <t xml:space="preserve">CASHBOOK</t>
  </si>
  <si>
    <t xml:space="preserve">PAN:</t>
  </si>
  <si>
    <t xml:space="preserve">AFIPG7802B</t>
  </si>
  <si>
    <t xml:space="preserve">Asst.Yr.</t>
  </si>
  <si>
    <t xml:space="preserve">Month</t>
  </si>
  <si>
    <t xml:space="preserve">Date</t>
  </si>
  <si>
    <t xml:space="preserve">Reciept A/c</t>
  </si>
  <si>
    <t xml:space="preserve">Reciept Particulars</t>
  </si>
  <si>
    <t xml:space="preserve">L.F. No.</t>
  </si>
  <si>
    <t xml:space="preserve">VNH</t>
  </si>
  <si>
    <t xml:space="preserve">Cash</t>
  </si>
  <si>
    <t xml:space="preserve">Chq.</t>
  </si>
  <si>
    <t xml:space="preserve">Total</t>
  </si>
  <si>
    <t xml:space="preserve">Payment A/c</t>
  </si>
  <si>
    <t xml:space="preserve">Payment Particulars</t>
  </si>
  <si>
    <t xml:space="preserve">Balance</t>
  </si>
  <si>
    <t xml:space="preserve">B/F</t>
  </si>
  <si>
    <t xml:space="preserve"> </t>
  </si>
  <si>
    <t xml:space="preserve">Salary</t>
  </si>
  <si>
    <t xml:space="preserve">Neeraj</t>
  </si>
  <si>
    <t xml:space="preserve">Misc.</t>
  </si>
  <si>
    <t xml:space="preserve">Stationery</t>
  </si>
  <si>
    <t xml:space="preserve">ICICI</t>
  </si>
  <si>
    <t xml:space="preserve">NFS/CASH WDL/410015026840/S1ACAG49/AGRA     /09-04-241558</t>
  </si>
  <si>
    <t xml:space="preserve">Patients</t>
  </si>
  <si>
    <t xml:space="preserve">UPI/410117325925/fee/akjain62@unionb/Union Bank of I/UOBD2EB54F43C8E4A92A1ACB3AFBF6ED855</t>
  </si>
  <si>
    <t xml:space="preserve">Veh. Exp.</t>
  </si>
  <si>
    <t xml:space="preserve">Petrol</t>
  </si>
  <si>
    <t xml:space="preserve">Gaurav</t>
  </si>
  <si>
    <t xml:space="preserve">UPI/311273166081/UPI/7409404440.wa.y/Kotak Mahindra /AXISWC3C4DB46691D4D54E08E7</t>
  </si>
  <si>
    <t xml:space="preserve">C/F</t>
  </si>
  <si>
    <t xml:space="preserve">NFS/S1ACAG49/CASH WDL/03-05-23                    </t>
  </si>
  <si>
    <t xml:space="preserve">TRF/MARUTINANDAN HEALTHCARE/004877/ICI/03.05.2024</t>
  </si>
  <si>
    <t xml:space="preserve">TRF/SHRI MARUTINANDAN/004852/ICI/30.04.2024</t>
  </si>
  <si>
    <t xml:space="preserve">TDStoIT</t>
  </si>
  <si>
    <t xml:space="preserve">NFS/S1ACAG49/CASH WDL/28-05-23                    </t>
  </si>
  <si>
    <t xml:space="preserve">CLG/SHRI MARUTI NANDAN/277853/CAB/22.05.2024</t>
  </si>
  <si>
    <t xml:space="preserve">NFS/S1ACAG49/CASH WDL/28-06-23                    </t>
  </si>
  <si>
    <t xml:space="preserve">TRF/SHRI MARUTI NANDAN/004980/ICI/22.06.2024</t>
  </si>
  <si>
    <t xml:space="preserve">TRF/SHRI MARUTINANDAN HEALTH/004964/ICI/21.06.2024</t>
  </si>
  <si>
    <t xml:space="preserve">CLG/SHRI MARUTI/278050/CAB/18.07.2024</t>
  </si>
  <si>
    <t xml:space="preserve">CLG/SHRI MARUTI/278048/CAB/18.07.2024</t>
  </si>
  <si>
    <t xml:space="preserve">ATM/S1CNQ071/CASH WDL/29-07-23                    </t>
  </si>
  <si>
    <t xml:space="preserve">TRF/SHRI MARUTINANDAN HEALTH/005057/ICI/27.07.2024</t>
  </si>
  <si>
    <t xml:space="preserve">CLG/SHRI MARUTI NANDAN/278144/CAB/08.08.2024</t>
  </si>
  <si>
    <t xml:space="preserve">NFS/ID131801/CASH WDL/28-08-23                    </t>
  </si>
  <si>
    <t xml:space="preserve">NFS/S1ACAG49/CASH WDL/17-09-23                    </t>
  </si>
  <si>
    <t xml:space="preserve">TRFR FROM: SHRI MARUTINANDAN HEALTHCARE PRIVATE LI</t>
  </si>
  <si>
    <t xml:space="preserve">NFS/CASH WDL/329515011779/S1ACAG49/AGRA     /22-10</t>
  </si>
  <si>
    <t xml:space="preserve">UPI/akjain62@unionb/fee/Union Bank of I/110003147701/UOB0056A66CAADA437F8FFB9CCF6796D6D4</t>
  </si>
  <si>
    <t xml:space="preserve">TRF/SHRI MARUTINANDAN/005255/ICI/13.10.2024</t>
  </si>
  <si>
    <t xml:space="preserve">CLG/SHRI MARUTI NANDAN HEAL/278319/CAB/06.11.2024</t>
  </si>
  <si>
    <t xml:space="preserve">CLG/SHRI MARUTI NANDAN HEAL/278323/CAB/06.11.2024</t>
  </si>
  <si>
    <t xml:space="preserve">TRF/SHRI MARUTINANDAN HEALTH/005353/ICI/20.11.2024</t>
  </si>
  <si>
    <t xml:space="preserve">UPI/aradhanajain.77/fee/UNION BANK OF I/110004731698/UOBbb6b2e4e029846c0893e0022c618aa17</t>
  </si>
  <si>
    <t xml:space="preserve">UPI/aradhanajain.77/fee/UNION BANK OF I/110005115377/UOB8b5a3fb3b56040ac9f1cb2856b871638</t>
  </si>
  <si>
    <t xml:space="preserve">NFS/CASH WDL/336315013194/S1ACAG49/AGRA     /29-12</t>
  </si>
  <si>
    <t xml:space="preserve">CLG/SHRI MARUTI NANDAN HEAL/278417/CAB/18.12.2024</t>
  </si>
  <si>
    <t xml:space="preserve">TRF/SHRI MURTINANDAN HWEALT/004311/ICI/05.01.2024 </t>
  </si>
  <si>
    <t xml:space="preserve">NFS/CASH WDL/402522024752/S1ACAG49/AGRA     /25-01</t>
  </si>
  <si>
    <t xml:space="preserve">UPI/avneshjain.agra/UPI/UNION BANK OF I/540232791818/ICI0f58808fdff34a76848506c81c218908</t>
  </si>
  <si>
    <t xml:space="preserve">TRF/SHRI MARUTINANDAN/005591/ICI/04.02.2025</t>
  </si>
  <si>
    <t xml:space="preserve">ATM/S1CNQ071/CASH WDL/13-02-24                    </t>
  </si>
  <si>
    <t xml:space="preserve">TRF/SHRI MARUTINANDAN/004572/ICI/25.02.2024       </t>
  </si>
  <si>
    <t xml:space="preserve">TRFR FROM:SHRI MARUTINANDAN HEALTHCARE PRIVATE LIM</t>
  </si>
  <si>
    <t xml:space="preserve">NFS/CASH WDL/407521989689/UN224601/AGRA     /15-03</t>
  </si>
  <si>
    <t xml:space="preserve">Index</t>
  </si>
  <si>
    <t xml:space="preserve">S No.</t>
  </si>
  <si>
    <t xml:space="preserve">Account</t>
  </si>
  <si>
    <t xml:space="preserve">Page No.</t>
  </si>
  <si>
    <t xml:space="preserve">Bank Accounts</t>
  </si>
  <si>
    <t xml:space="preserve">Cash-in-hand</t>
  </si>
  <si>
    <t xml:space="preserve">Current Assets</t>
  </si>
  <si>
    <t xml:space="preserve">ICICI Bank Savings A/c</t>
  </si>
  <si>
    <t xml:space="preserve">Medical Consultation - Freelance</t>
  </si>
  <si>
    <t xml:space="preserve">Miscellaneous</t>
  </si>
  <si>
    <t xml:space="preserve">Movable Assets</t>
  </si>
  <si>
    <t xml:space="preserve">Vehicle Expenditure</t>
  </si>
  <si>
    <t xml:space="preserve">Income Expenditure Account</t>
  </si>
  <si>
    <t xml:space="preserve">Capital Account</t>
  </si>
  <si>
    <t xml:space="preserve">Balance Sheet</t>
  </si>
  <si>
    <t xml:space="preserve">LEDGER</t>
  </si>
  <si>
    <t xml:space="preserve">Asst. Yr.</t>
  </si>
  <si>
    <t xml:space="preserve">2024-2025</t>
  </si>
  <si>
    <t xml:space="preserve">A/c</t>
  </si>
  <si>
    <t xml:space="preserve">Description</t>
  </si>
  <si>
    <t xml:space="preserve">LD F No.</t>
  </si>
  <si>
    <t xml:space="preserve">Debit</t>
  </si>
  <si>
    <t xml:space="preserve">Credit</t>
  </si>
  <si>
    <t xml:space="preserve">Dr or Cr</t>
  </si>
  <si>
    <t xml:space="preserve">CurAs</t>
  </si>
  <si>
    <t xml:space="preserve">CB F No.</t>
  </si>
  <si>
    <t xml:space="preserve">By Balance</t>
  </si>
  <si>
    <t xml:space="preserve">CiH</t>
  </si>
  <si>
    <t xml:space="preserve">BkAc</t>
  </si>
  <si>
    <t xml:space="preserve">MAs</t>
  </si>
  <si>
    <t xml:space="preserve">Instruments</t>
  </si>
  <si>
    <t xml:space="preserve">Dep</t>
  </si>
  <si>
    <t xml:space="preserve">Depreciation @ 7.5%</t>
  </si>
  <si>
    <t xml:space="preserve">Depreciation @ 15%</t>
  </si>
  <si>
    <t xml:space="preserve">Inc.Exp.A/c</t>
  </si>
  <si>
    <t xml:space="preserve">Bal</t>
  </si>
  <si>
    <t xml:space="preserve">CapAc</t>
  </si>
  <si>
    <t xml:space="preserve">Depreciation Account</t>
  </si>
  <si>
    <t xml:space="preserve">Instruments @ 7.5 %</t>
  </si>
  <si>
    <t xml:space="preserve">Instruments @ 15 %</t>
  </si>
  <si>
    <t xml:space="preserve">Med.Cons.</t>
  </si>
  <si>
    <t xml:space="preserve">Expenditure =&gt;</t>
  </si>
  <si>
    <t xml:space="preserve">&lt;= Reciepts</t>
  </si>
  <si>
    <t xml:space="preserve">Profit%</t>
  </si>
  <si>
    <t xml:space="preserve">Income from Proffession</t>
  </si>
  <si>
    <t xml:space="preserve">bank acs</t>
  </si>
  <si>
    <t xml:space="preserve">cih</t>
  </si>
  <si>
    <t xml:space="preserve">Dr. Anurag Gupta </t>
  </si>
  <si>
    <t xml:space="preserve">PAN No:</t>
  </si>
  <si>
    <t xml:space="preserve">ASST YEAR 2023-2024</t>
  </si>
  <si>
    <t xml:space="preserve">BALANCE SHEET – PROFESSION</t>
  </si>
  <si>
    <t xml:space="preserve">Liabilities </t>
  </si>
  <si>
    <t xml:space="preserve">Assets</t>
  </si>
  <si>
    <t xml:space="preserve">ImAs</t>
  </si>
  <si>
    <t xml:space="preserve">Immovable Assets</t>
  </si>
  <si>
    <t xml:space="preserve">CurLb</t>
  </si>
  <si>
    <t xml:space="preserve">Current Liabilities</t>
  </si>
  <si>
    <t xml:space="preserve">SCr</t>
  </si>
  <si>
    <t xml:space="preserve">Sundry Creditors</t>
  </si>
  <si>
    <t xml:space="preserve">L&amp;A</t>
  </si>
  <si>
    <t xml:space="preserve">Loans And Advances</t>
  </si>
  <si>
    <t xml:space="preserve">Dp</t>
  </si>
  <si>
    <t xml:space="preserve">Deposits (Assets)</t>
  </si>
  <si>
    <t xml:space="preserve">SiH</t>
  </si>
  <si>
    <t xml:space="preserve">Stock-in-hand</t>
  </si>
  <si>
    <t xml:space="preserve">Inv</t>
  </si>
  <si>
    <t xml:space="preserve">Investments</t>
  </si>
  <si>
    <t xml:space="preserve">Shares</t>
  </si>
  <si>
    <t xml:space="preserve">MFund</t>
  </si>
  <si>
    <t xml:space="preserve">Mutual Fund</t>
  </si>
  <si>
    <t xml:space="preserve">Furniture</t>
  </si>
  <si>
    <t xml:space="preserve">Sdr</t>
  </si>
  <si>
    <t xml:space="preserve">Sundry Debitors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</si>
</sst>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/m/yyyy"/>
    <numFmt numFmtId="166" formatCode="#,##0.00_ ;[RED]\-#,##0.00\ "/>
    <numFmt numFmtId="167" formatCode="dd/mm/yyyy"/>
    <numFmt numFmtId="168" formatCode="0"/>
    <numFmt numFmtId="169" formatCode="0.00"/>
    <numFmt numFmtId="170" formatCode="_(* #,##0.00_);_(* \(#,##0.00\);_(* \-??_);_(@_)"/>
    <numFmt numFmtId="171" formatCode="#,##0.00"/>
    <numFmt numFmtId="172" formatCode="@"/>
    <numFmt numFmtId="173" formatCode="[$-4009]dd/mm/yyyy;@"/>
    <numFmt numFmtId="174" formatCode="dd/mm/yy"/>
    <numFmt numFmtId="175" formatCode="General;[RED]\-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3" fontId="6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0" fontId="0" fillId="3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3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71" fontId="0" fillId="4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right" vertical="top" textRotation="0" wrapText="true" indent="0" shrinkToFit="false"/>
      <protection locked="true" hidden="false"/>
    </xf>
    <xf numFmtId="172" fontId="0" fillId="2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71" fontId="8" fillId="2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71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0" fillId="0" borderId="3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4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1" fontId="4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rogram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11.06"/>
    <col collapsed="false" customWidth="true" hidden="false" outlineLevel="0" max="5" min="5" style="2" width="12.61"/>
    <col collapsed="false" customWidth="true" hidden="false" outlineLevel="0" max="7" min="6" style="3" width="12.61"/>
    <col collapsed="false" customWidth="true" hidden="false" outlineLevel="0" max="8" min="8" style="3" width="12.15"/>
    <col collapsed="false" customWidth="true" hidden="false" outlineLevel="0" max="9" min="9" style="3" width="10.13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0.59"/>
    <col collapsed="false" customWidth="true" hidden="false" outlineLevel="0" max="15" min="15" style="3" width="7.5"/>
    <col collapsed="false" customWidth="true" hidden="false" outlineLevel="0" max="17" min="16" style="3" width="10.13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Apr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45383</v>
      </c>
      <c r="B6" s="2" t="s">
        <v>19</v>
      </c>
      <c r="C6" s="2" t="s">
        <v>20</v>
      </c>
      <c r="F6" s="10" t="n">
        <v>99619</v>
      </c>
      <c r="G6" s="11" t="n">
        <f aca="false">SUM(E6:F6)</f>
        <v>99619</v>
      </c>
      <c r="H6" s="12"/>
      <c r="I6" s="12" t="n">
        <f aca="false">I5+G6</f>
        <v>99619</v>
      </c>
      <c r="J6" s="1" t="n">
        <v>45383</v>
      </c>
      <c r="N6" s="12"/>
      <c r="O6" s="12"/>
      <c r="P6" s="12" t="n">
        <f aca="false">P5+N6</f>
        <v>0</v>
      </c>
      <c r="Q6" s="12" t="n">
        <f aca="false">I6-P6</f>
        <v>99619</v>
      </c>
      <c r="R6" s="3"/>
    </row>
    <row r="7" customFormat="false" ht="12.8" hidden="false" customHeight="false" outlineLevel="0" collapsed="false">
      <c r="A7" s="1" t="n">
        <v>45384</v>
      </c>
      <c r="F7" s="11"/>
      <c r="G7" s="11" t="n">
        <f aca="false">SUM(E7:F7)</f>
        <v>0</v>
      </c>
      <c r="H7" s="12"/>
      <c r="I7" s="12" t="n">
        <f aca="false">I6+G7</f>
        <v>99619</v>
      </c>
      <c r="J7" s="1" t="n">
        <v>45384</v>
      </c>
      <c r="L7" s="2" t="s">
        <v>21</v>
      </c>
      <c r="N7" s="12"/>
      <c r="O7" s="12"/>
      <c r="P7" s="12" t="n">
        <f aca="false">P6+N7</f>
        <v>0</v>
      </c>
      <c r="Q7" s="12" t="n">
        <f aca="false">I7-P7</f>
        <v>99619</v>
      </c>
    </row>
    <row r="8" customFormat="false" ht="12.8" hidden="false" customHeight="false" outlineLevel="0" collapsed="false">
      <c r="A8" s="1" t="n">
        <v>45385</v>
      </c>
      <c r="F8" s="11"/>
      <c r="G8" s="11" t="n">
        <f aca="false">SUM(E8:F8)</f>
        <v>0</v>
      </c>
      <c r="H8" s="12"/>
      <c r="I8" s="12" t="n">
        <f aca="false">I7+G8</f>
        <v>99619</v>
      </c>
      <c r="J8" s="1" t="n">
        <v>45385</v>
      </c>
      <c r="K8" s="2" t="s">
        <v>22</v>
      </c>
      <c r="L8" s="2" t="s">
        <v>23</v>
      </c>
      <c r="M8" s="2" t="n">
        <v>9</v>
      </c>
      <c r="N8" s="12" t="n">
        <v>3000</v>
      </c>
      <c r="O8" s="12"/>
      <c r="P8" s="12" t="n">
        <f aca="false">P7+N8</f>
        <v>3000</v>
      </c>
      <c r="Q8" s="12" t="n">
        <f aca="false">I8-P8</f>
        <v>96619</v>
      </c>
    </row>
    <row r="9" customFormat="false" ht="12.8" hidden="false" customHeight="false" outlineLevel="0" collapsed="false">
      <c r="A9" s="1" t="n">
        <v>45386</v>
      </c>
      <c r="C9" s="13"/>
      <c r="F9" s="11"/>
      <c r="G9" s="11" t="n">
        <f aca="false">SUM(E9:F9)</f>
        <v>0</v>
      </c>
      <c r="H9" s="12"/>
      <c r="I9" s="12" t="n">
        <f aca="false">I8+G9</f>
        <v>99619</v>
      </c>
      <c r="J9" s="1" t="n">
        <v>45386</v>
      </c>
      <c r="K9" s="2" t="s">
        <v>24</v>
      </c>
      <c r="L9" s="2" t="s">
        <v>25</v>
      </c>
      <c r="M9" s="2" t="n">
        <v>6</v>
      </c>
      <c r="N9" s="12" t="n">
        <v>280</v>
      </c>
      <c r="O9" s="12"/>
      <c r="P9" s="12" t="n">
        <f aca="false">P8+N9</f>
        <v>3280</v>
      </c>
      <c r="Q9" s="12" t="n">
        <f aca="false">I9-P9</f>
        <v>96339</v>
      </c>
    </row>
    <row r="10" customFormat="false" ht="12.8" hidden="false" customHeight="false" outlineLevel="0" collapsed="false">
      <c r="A10" s="1" t="n">
        <v>45387</v>
      </c>
      <c r="F10" s="11"/>
      <c r="G10" s="11" t="n">
        <f aca="false">SUM(E10:F10)</f>
        <v>0</v>
      </c>
      <c r="H10" s="12"/>
      <c r="I10" s="12" t="n">
        <f aca="false">I9+G10</f>
        <v>99619</v>
      </c>
      <c r="J10" s="1" t="n">
        <v>45387</v>
      </c>
      <c r="N10" s="12"/>
      <c r="O10" s="12"/>
      <c r="P10" s="12" t="n">
        <f aca="false">P9+N10</f>
        <v>3280</v>
      </c>
      <c r="Q10" s="12" t="n">
        <f aca="false">I10-P10</f>
        <v>96339</v>
      </c>
    </row>
    <row r="11" customFormat="false" ht="12.8" hidden="false" customHeight="false" outlineLevel="0" collapsed="false">
      <c r="A11" s="1" t="n">
        <v>45388</v>
      </c>
      <c r="C11" s="14"/>
      <c r="F11" s="11"/>
      <c r="G11" s="11" t="n">
        <f aca="false">SUM(E11:F11)</f>
        <v>0</v>
      </c>
      <c r="H11" s="12"/>
      <c r="I11" s="12" t="n">
        <f aca="false">I10+G11</f>
        <v>99619</v>
      </c>
      <c r="J11" s="1" t="n">
        <v>45388</v>
      </c>
      <c r="L11" s="14"/>
      <c r="N11" s="12"/>
      <c r="O11" s="12"/>
      <c r="P11" s="12" t="n">
        <f aca="false">P10+N11</f>
        <v>3280</v>
      </c>
      <c r="Q11" s="12" t="n">
        <f aca="false">I11-P11</f>
        <v>96339</v>
      </c>
    </row>
    <row r="12" customFormat="false" ht="12.8" hidden="false" customHeight="false" outlineLevel="0" collapsed="false">
      <c r="A12" s="1" t="n">
        <v>45389</v>
      </c>
      <c r="F12" s="11"/>
      <c r="G12" s="11" t="n">
        <f aca="false">SUM(E12:F12)</f>
        <v>0</v>
      </c>
      <c r="H12" s="12"/>
      <c r="I12" s="12" t="n">
        <f aca="false">I11+G12</f>
        <v>99619</v>
      </c>
      <c r="J12" s="1" t="n">
        <v>45389</v>
      </c>
      <c r="N12" s="12"/>
      <c r="O12" s="12"/>
      <c r="P12" s="12" t="n">
        <f aca="false">P11+N12</f>
        <v>3280</v>
      </c>
      <c r="Q12" s="12" t="n">
        <f aca="false">I12-P12</f>
        <v>96339</v>
      </c>
    </row>
    <row r="13" customFormat="false" ht="12.8" hidden="false" customHeight="false" outlineLevel="0" collapsed="false">
      <c r="A13" s="1" t="n">
        <v>45390</v>
      </c>
      <c r="C13" s="15"/>
      <c r="F13" s="11"/>
      <c r="G13" s="11" t="n">
        <f aca="false">SUM(E13:F13)</f>
        <v>0</v>
      </c>
      <c r="H13" s="12"/>
      <c r="I13" s="12" t="n">
        <f aca="false">I12+G13</f>
        <v>99619</v>
      </c>
      <c r="J13" s="1" t="n">
        <v>45390</v>
      </c>
      <c r="O13" s="12"/>
      <c r="P13" s="12" t="n">
        <f aca="false">P12+N13</f>
        <v>3280</v>
      </c>
      <c r="Q13" s="12" t="n">
        <f aca="false">I13-P13</f>
        <v>96339</v>
      </c>
    </row>
    <row r="14" customFormat="false" ht="36.45" hidden="false" customHeight="false" outlineLevel="0" collapsed="false">
      <c r="A14" s="1" t="n">
        <v>45391</v>
      </c>
      <c r="C14" s="13"/>
      <c r="F14" s="11"/>
      <c r="G14" s="11" t="n">
        <f aca="false">SUM(E14:F14)</f>
        <v>0</v>
      </c>
      <c r="H14" s="12"/>
      <c r="I14" s="12" t="n">
        <f aca="false">I13+G14</f>
        <v>99619</v>
      </c>
      <c r="J14" s="1" t="n">
        <v>45391</v>
      </c>
      <c r="K14" s="2" t="s">
        <v>26</v>
      </c>
      <c r="L14" s="16" t="s">
        <v>27</v>
      </c>
      <c r="N14" s="3" t="n">
        <v>10000</v>
      </c>
      <c r="O14" s="12"/>
      <c r="P14" s="12" t="n">
        <f aca="false">P13+N14</f>
        <v>13280</v>
      </c>
      <c r="Q14" s="12" t="n">
        <f aca="false">I14-P14</f>
        <v>86339</v>
      </c>
    </row>
    <row r="15" customFormat="false" ht="48.05" hidden="false" customHeight="false" outlineLevel="0" collapsed="false">
      <c r="A15" s="1" t="n">
        <v>45392</v>
      </c>
      <c r="B15" s="17" t="s">
        <v>28</v>
      </c>
      <c r="C15" s="13" t="s">
        <v>29</v>
      </c>
      <c r="F15" s="11"/>
      <c r="G15" s="11" t="n">
        <f aca="false">SUM(E15:F15)</f>
        <v>0</v>
      </c>
      <c r="H15" s="12" t="n">
        <v>300</v>
      </c>
      <c r="I15" s="12" t="n">
        <f aca="false">I14+G15</f>
        <v>99619</v>
      </c>
      <c r="J15" s="1" t="n">
        <v>45392</v>
      </c>
      <c r="K15" s="2" t="s">
        <v>26</v>
      </c>
      <c r="L15" s="13" t="s">
        <v>29</v>
      </c>
      <c r="N15" s="12"/>
      <c r="O15" s="12" t="n">
        <v>300</v>
      </c>
      <c r="P15" s="12" t="n">
        <f aca="false">P14+N15</f>
        <v>13280</v>
      </c>
      <c r="Q15" s="12" t="n">
        <f aca="false">I15-P15</f>
        <v>86339</v>
      </c>
    </row>
    <row r="16" customFormat="false" ht="12.8" hidden="false" customHeight="false" outlineLevel="0" collapsed="false">
      <c r="A16" s="1" t="n">
        <v>45393</v>
      </c>
      <c r="C16" s="15"/>
      <c r="F16" s="11"/>
      <c r="G16" s="11" t="n">
        <f aca="false">SUM(E16:F16)</f>
        <v>0</v>
      </c>
      <c r="H16" s="12"/>
      <c r="I16" s="12" t="n">
        <f aca="false">I15+G16</f>
        <v>99619</v>
      </c>
      <c r="J16" s="1" t="n">
        <v>45393</v>
      </c>
      <c r="L16" s="18"/>
      <c r="N16" s="12"/>
      <c r="O16" s="12"/>
      <c r="P16" s="12" t="n">
        <f aca="false">P15+N16</f>
        <v>13280</v>
      </c>
      <c r="Q16" s="12" t="n">
        <f aca="false">I16-P16</f>
        <v>86339</v>
      </c>
    </row>
    <row r="17" customFormat="false" ht="13.8" hidden="false" customHeight="false" outlineLevel="0" collapsed="false">
      <c r="A17" s="1" t="n">
        <v>45394</v>
      </c>
      <c r="C17" s="19"/>
      <c r="D17" s="20"/>
      <c r="F17" s="11"/>
      <c r="G17" s="11" t="n">
        <f aca="false">SUM(E17:F17)</f>
        <v>0</v>
      </c>
      <c r="H17" s="12"/>
      <c r="I17" s="12" t="n">
        <f aca="false">I16+G17</f>
        <v>99619</v>
      </c>
      <c r="J17" s="1" t="n">
        <v>45394</v>
      </c>
      <c r="N17" s="12"/>
      <c r="O17" s="12"/>
      <c r="P17" s="12" t="n">
        <f aca="false">P16+N17</f>
        <v>13280</v>
      </c>
      <c r="Q17" s="12" t="n">
        <f aca="false">I17-P17</f>
        <v>86339</v>
      </c>
    </row>
    <row r="18" customFormat="false" ht="12.8" hidden="false" customHeight="false" outlineLevel="0" collapsed="false">
      <c r="A18" s="1" t="n">
        <v>45395</v>
      </c>
      <c r="C18" s="13"/>
      <c r="G18" s="11" t="n">
        <f aca="false">SUM(E18:F18)</f>
        <v>0</v>
      </c>
      <c r="H18" s="12"/>
      <c r="I18" s="12" t="n">
        <f aca="false">I17+G18</f>
        <v>99619</v>
      </c>
      <c r="J18" s="1" t="n">
        <v>45395</v>
      </c>
      <c r="N18" s="12"/>
      <c r="O18" s="12"/>
      <c r="P18" s="12" t="n">
        <f aca="false">P17+N18</f>
        <v>13280</v>
      </c>
      <c r="Q18" s="12" t="n">
        <f aca="false">I18-P18</f>
        <v>86339</v>
      </c>
    </row>
    <row r="19" customFormat="false" ht="13.8" hidden="false" customHeight="false" outlineLevel="0" collapsed="false">
      <c r="A19" s="1" t="n">
        <v>45396</v>
      </c>
      <c r="B19" s="17"/>
      <c r="G19" s="11" t="n">
        <f aca="false">SUM(E19:F19)</f>
        <v>0</v>
      </c>
      <c r="H19" s="12"/>
      <c r="I19" s="12" t="n">
        <f aca="false">I18+G19</f>
        <v>99619</v>
      </c>
      <c r="J19" s="1" t="n">
        <v>45396</v>
      </c>
      <c r="N19" s="12"/>
      <c r="O19" s="12"/>
      <c r="P19" s="12" t="n">
        <f aca="false">P18+N19</f>
        <v>13280</v>
      </c>
      <c r="Q19" s="12" t="n">
        <f aca="false">I19-P19</f>
        <v>86339</v>
      </c>
    </row>
    <row r="20" customFormat="false" ht="13.8" hidden="false" customHeight="false" outlineLevel="0" collapsed="false">
      <c r="A20" s="1" t="n">
        <v>45397</v>
      </c>
      <c r="B20" s="17"/>
      <c r="G20" s="11" t="n">
        <f aca="false">SUM(E20:F20)</f>
        <v>0</v>
      </c>
      <c r="H20" s="12"/>
      <c r="I20" s="12" t="n">
        <f aca="false">I19+G20</f>
        <v>99619</v>
      </c>
      <c r="J20" s="1" t="n">
        <v>45397</v>
      </c>
      <c r="K20" s="2" t="s">
        <v>30</v>
      </c>
      <c r="L20" s="2" t="s">
        <v>31</v>
      </c>
      <c r="M20" s="2" t="n">
        <v>11</v>
      </c>
      <c r="N20" s="12" t="n">
        <v>500</v>
      </c>
      <c r="O20" s="12"/>
      <c r="P20" s="12" t="n">
        <f aca="false">P19+N20</f>
        <v>13780</v>
      </c>
      <c r="Q20" s="12" t="n">
        <f aca="false">I20-P20</f>
        <v>85839</v>
      </c>
    </row>
    <row r="21" customFormat="false" ht="13.8" hidden="false" customHeight="false" outlineLevel="0" collapsed="false">
      <c r="A21" s="1" t="n">
        <v>45398</v>
      </c>
      <c r="B21" s="17"/>
      <c r="G21" s="11" t="n">
        <f aca="false">SUM(E21:F21)</f>
        <v>0</v>
      </c>
      <c r="H21" s="12"/>
      <c r="I21" s="12" t="n">
        <f aca="false">I20+G21</f>
        <v>99619</v>
      </c>
      <c r="J21" s="1" t="n">
        <v>45398</v>
      </c>
      <c r="N21" s="12"/>
      <c r="O21" s="12"/>
      <c r="P21" s="12" t="n">
        <f aca="false">P20+N21</f>
        <v>13780</v>
      </c>
      <c r="Q21" s="12" t="n">
        <f aca="false">I21-P21</f>
        <v>85839</v>
      </c>
    </row>
    <row r="22" customFormat="false" ht="13.8" hidden="false" customHeight="false" outlineLevel="0" collapsed="false">
      <c r="A22" s="1" t="n">
        <v>45399</v>
      </c>
      <c r="B22" s="17"/>
      <c r="G22" s="11" t="n">
        <f aca="false">SUM(E22:F22)</f>
        <v>0</v>
      </c>
      <c r="H22" s="12"/>
      <c r="I22" s="12" t="n">
        <f aca="false">I21+G22</f>
        <v>99619</v>
      </c>
      <c r="J22" s="1" t="n">
        <v>45399</v>
      </c>
      <c r="N22" s="12"/>
      <c r="O22" s="12"/>
      <c r="P22" s="12" t="n">
        <f aca="false">P21+N22</f>
        <v>13780</v>
      </c>
      <c r="Q22" s="12" t="n">
        <f aca="false">I22-P22</f>
        <v>85839</v>
      </c>
    </row>
    <row r="23" customFormat="false" ht="13.8" hidden="false" customHeight="false" outlineLevel="0" collapsed="false">
      <c r="A23" s="1" t="n">
        <v>45400</v>
      </c>
      <c r="C23" s="21"/>
      <c r="D23" s="20"/>
      <c r="F23" s="11"/>
      <c r="G23" s="11" t="n">
        <f aca="false">SUM(E23:F23)</f>
        <v>0</v>
      </c>
      <c r="H23" s="12"/>
      <c r="I23" s="12" t="n">
        <f aca="false">I22+G23</f>
        <v>99619</v>
      </c>
      <c r="J23" s="1" t="n">
        <v>45400</v>
      </c>
      <c r="N23" s="12"/>
      <c r="O23" s="12"/>
      <c r="P23" s="12" t="n">
        <f aca="false">P22+N23</f>
        <v>13780</v>
      </c>
      <c r="Q23" s="12" t="n">
        <f aca="false">I23-P23</f>
        <v>85839</v>
      </c>
    </row>
    <row r="24" customFormat="false" ht="13.8" hidden="false" customHeight="false" outlineLevel="0" collapsed="false">
      <c r="A24" s="1" t="n">
        <v>45401</v>
      </c>
      <c r="C24" s="21"/>
      <c r="D24" s="20"/>
      <c r="F24" s="11"/>
      <c r="G24" s="11" t="n">
        <f aca="false">SUM(E24:F24)</f>
        <v>0</v>
      </c>
      <c r="H24" s="12"/>
      <c r="I24" s="12" t="n">
        <f aca="false">I23+G24</f>
        <v>99619</v>
      </c>
      <c r="J24" s="1" t="n">
        <v>45401</v>
      </c>
      <c r="N24" s="12"/>
      <c r="O24" s="12"/>
      <c r="P24" s="12" t="n">
        <f aca="false">P23+N24</f>
        <v>13780</v>
      </c>
      <c r="Q24" s="12" t="n">
        <f aca="false">I24-P24</f>
        <v>85839</v>
      </c>
    </row>
    <row r="25" customFormat="false" ht="13.8" hidden="false" customHeight="false" outlineLevel="0" collapsed="false">
      <c r="A25" s="1" t="n">
        <v>45402</v>
      </c>
      <c r="B25" s="17"/>
      <c r="G25" s="11" t="n">
        <f aca="false">SUM(E25:F25)</f>
        <v>0</v>
      </c>
      <c r="H25" s="12"/>
      <c r="I25" s="12" t="n">
        <f aca="false">I24+G25</f>
        <v>99619</v>
      </c>
      <c r="J25" s="1" t="n">
        <v>45402</v>
      </c>
      <c r="O25" s="12"/>
      <c r="P25" s="12" t="n">
        <f aca="false">P24+N25</f>
        <v>13780</v>
      </c>
      <c r="Q25" s="12" t="n">
        <f aca="false">I25-P25</f>
        <v>85839</v>
      </c>
    </row>
    <row r="26" customFormat="false" ht="13.8" hidden="false" customHeight="false" outlineLevel="0" collapsed="false">
      <c r="A26" s="1" t="n">
        <v>45403</v>
      </c>
      <c r="B26" s="17"/>
      <c r="G26" s="11" t="n">
        <f aca="false">SUM(E26:F26)</f>
        <v>0</v>
      </c>
      <c r="H26" s="12"/>
      <c r="I26" s="12" t="n">
        <f aca="false">I25+G26</f>
        <v>99619</v>
      </c>
      <c r="J26" s="1" t="n">
        <v>45403</v>
      </c>
      <c r="K26" s="2" t="s">
        <v>22</v>
      </c>
      <c r="L26" s="2" t="s">
        <v>32</v>
      </c>
      <c r="M26" s="2" t="n">
        <v>9</v>
      </c>
      <c r="N26" s="12" t="n">
        <v>3000</v>
      </c>
      <c r="O26" s="12"/>
      <c r="P26" s="12" t="n">
        <f aca="false">P25+N26</f>
        <v>16780</v>
      </c>
      <c r="Q26" s="12" t="n">
        <f aca="false">I26-P26</f>
        <v>82839</v>
      </c>
    </row>
    <row r="27" customFormat="false" ht="59.7" hidden="false" customHeight="false" outlineLevel="0" collapsed="false">
      <c r="A27" s="1" t="n">
        <v>45404</v>
      </c>
      <c r="C27" s="19"/>
      <c r="D27" s="2" t="n">
        <v>8</v>
      </c>
      <c r="F27" s="11"/>
      <c r="G27" s="11" t="n">
        <f aca="false">SUM(E27:F27)</f>
        <v>0</v>
      </c>
      <c r="H27" s="12" t="n">
        <v>300</v>
      </c>
      <c r="I27" s="12" t="n">
        <f aca="false">I26+G27</f>
        <v>99619</v>
      </c>
      <c r="J27" s="1" t="n">
        <v>45404</v>
      </c>
      <c r="K27" s="2" t="s">
        <v>26</v>
      </c>
      <c r="L27" s="19" t="s">
        <v>33</v>
      </c>
      <c r="M27" s="2" t="n">
        <v>4</v>
      </c>
      <c r="N27" s="12"/>
      <c r="O27" s="12" t="n">
        <v>300</v>
      </c>
      <c r="P27" s="12" t="n">
        <f aca="false">P26+N27</f>
        <v>16780</v>
      </c>
      <c r="Q27" s="12" t="n">
        <f aca="false">I27-P27</f>
        <v>82839</v>
      </c>
    </row>
    <row r="28" customFormat="false" ht="12.8" hidden="false" customHeight="false" outlineLevel="0" collapsed="false">
      <c r="A28" s="1" t="n">
        <v>45405</v>
      </c>
      <c r="F28" s="11"/>
      <c r="G28" s="11" t="n">
        <f aca="false">SUM(E28:F28)</f>
        <v>0</v>
      </c>
      <c r="H28" s="12"/>
      <c r="I28" s="12" t="n">
        <f aca="false">I27+G28</f>
        <v>99619</v>
      </c>
      <c r="J28" s="1" t="n">
        <v>45405</v>
      </c>
      <c r="N28" s="12"/>
      <c r="O28" s="12"/>
      <c r="P28" s="12" t="n">
        <f aca="false">P27+N28</f>
        <v>16780</v>
      </c>
      <c r="Q28" s="12" t="n">
        <f aca="false">I28-P28</f>
        <v>82839</v>
      </c>
    </row>
    <row r="29" customFormat="false" ht="12.8" hidden="false" customHeight="false" outlineLevel="0" collapsed="false">
      <c r="A29" s="1" t="n">
        <v>45406</v>
      </c>
      <c r="F29" s="11"/>
      <c r="G29" s="11" t="n">
        <f aca="false">SUM(E29:F29)</f>
        <v>0</v>
      </c>
      <c r="H29" s="12"/>
      <c r="I29" s="12" t="n">
        <f aca="false">I28+G29</f>
        <v>99619</v>
      </c>
      <c r="J29" s="1" t="n">
        <v>45406</v>
      </c>
      <c r="N29" s="12"/>
      <c r="O29" s="12"/>
      <c r="P29" s="12" t="n">
        <f aca="false">P28+N29</f>
        <v>16780</v>
      </c>
      <c r="Q29" s="12" t="n">
        <f aca="false">I29-P29</f>
        <v>82839</v>
      </c>
    </row>
    <row r="30" customFormat="false" ht="13.8" hidden="false" customHeight="false" outlineLevel="0" collapsed="false">
      <c r="A30" s="1" t="n">
        <v>45407</v>
      </c>
      <c r="C30" s="21"/>
      <c r="D30" s="20"/>
      <c r="F30" s="11"/>
      <c r="G30" s="11" t="n">
        <f aca="false">SUM(E30:F30)</f>
        <v>0</v>
      </c>
      <c r="H30" s="12"/>
      <c r="I30" s="12" t="n">
        <f aca="false">I29+G30</f>
        <v>99619</v>
      </c>
      <c r="J30" s="1" t="n">
        <v>45407</v>
      </c>
      <c r="N30" s="12"/>
      <c r="O30" s="12"/>
      <c r="P30" s="12" t="n">
        <f aca="false">P29+N30</f>
        <v>16780</v>
      </c>
      <c r="Q30" s="12" t="n">
        <f aca="false">I30-P30</f>
        <v>82839</v>
      </c>
    </row>
    <row r="31" customFormat="false" ht="13.8" hidden="false" customHeight="false" outlineLevel="0" collapsed="false">
      <c r="A31" s="1" t="n">
        <v>45408</v>
      </c>
      <c r="C31" s="21"/>
      <c r="D31" s="20"/>
      <c r="F31" s="11"/>
      <c r="G31" s="11" t="n">
        <f aca="false">SUM(E31:F31)</f>
        <v>0</v>
      </c>
      <c r="H31" s="12"/>
      <c r="I31" s="12" t="n">
        <f aca="false">I30+G31</f>
        <v>99619</v>
      </c>
      <c r="J31" s="1" t="n">
        <v>45408</v>
      </c>
      <c r="N31" s="12"/>
      <c r="O31" s="12"/>
      <c r="P31" s="12" t="n">
        <f aca="false">P30+N31</f>
        <v>16780</v>
      </c>
      <c r="Q31" s="12" t="n">
        <f aca="false">I31-P31</f>
        <v>82839</v>
      </c>
    </row>
    <row r="32" customFormat="false" ht="13.8" hidden="false" customHeight="false" outlineLevel="0" collapsed="false">
      <c r="A32" s="1" t="n">
        <v>45409</v>
      </c>
      <c r="C32" s="21"/>
      <c r="D32" s="20"/>
      <c r="F32" s="11"/>
      <c r="G32" s="11" t="n">
        <f aca="false">SUM(E32:F32)</f>
        <v>0</v>
      </c>
      <c r="H32" s="12"/>
      <c r="I32" s="12" t="n">
        <f aca="false">I31+G32</f>
        <v>99619</v>
      </c>
      <c r="J32" s="1" t="n">
        <v>45409</v>
      </c>
      <c r="N32" s="12"/>
      <c r="O32" s="12"/>
      <c r="P32" s="12" t="n">
        <f aca="false">P31+N32</f>
        <v>16780</v>
      </c>
      <c r="Q32" s="12" t="n">
        <f aca="false">I32-P32</f>
        <v>82839</v>
      </c>
    </row>
    <row r="33" customFormat="false" ht="13.8" hidden="false" customHeight="false" outlineLevel="0" collapsed="false">
      <c r="A33" s="1" t="n">
        <v>45410</v>
      </c>
      <c r="C33" s="21"/>
      <c r="D33" s="20"/>
      <c r="F33" s="11"/>
      <c r="G33" s="11" t="n">
        <f aca="false">SUM(E33:F33)</f>
        <v>0</v>
      </c>
      <c r="H33" s="12"/>
      <c r="I33" s="12" t="n">
        <f aca="false">I32+G33</f>
        <v>99619</v>
      </c>
      <c r="J33" s="1" t="n">
        <v>45410</v>
      </c>
      <c r="N33" s="12"/>
      <c r="O33" s="12"/>
      <c r="P33" s="12" t="n">
        <f aca="false">P32+N33</f>
        <v>16780</v>
      </c>
      <c r="Q33" s="12" t="n">
        <f aca="false">I33-P33</f>
        <v>82839</v>
      </c>
    </row>
    <row r="34" customFormat="false" ht="13.8" hidden="false" customHeight="false" outlineLevel="0" collapsed="false">
      <c r="A34" s="1" t="n">
        <v>45411</v>
      </c>
      <c r="C34" s="21"/>
      <c r="D34" s="20"/>
      <c r="F34" s="11"/>
      <c r="G34" s="11" t="n">
        <f aca="false">SUM(E34:F34)</f>
        <v>0</v>
      </c>
      <c r="H34" s="12"/>
      <c r="I34" s="12" t="n">
        <f aca="false">I33+G34</f>
        <v>99619</v>
      </c>
      <c r="J34" s="1" t="n">
        <v>45411</v>
      </c>
      <c r="N34" s="12"/>
      <c r="O34" s="12"/>
      <c r="P34" s="12" t="n">
        <f aca="false">P33+N34</f>
        <v>16780</v>
      </c>
      <c r="Q34" s="12" t="n">
        <f aca="false">I34-P34</f>
        <v>82839</v>
      </c>
    </row>
    <row r="35" customFormat="false" ht="12.8" hidden="false" customHeight="false" outlineLevel="0" collapsed="false">
      <c r="A35" s="1" t="n">
        <v>45412</v>
      </c>
      <c r="F35" s="12"/>
      <c r="G35" s="11" t="n">
        <f aca="false">SUM(E35:F35)</f>
        <v>0</v>
      </c>
      <c r="H35" s="12"/>
      <c r="I35" s="12" t="n">
        <f aca="false">I34+G35</f>
        <v>99619</v>
      </c>
      <c r="J35" s="1" t="n">
        <v>45412</v>
      </c>
      <c r="K35" s="2" t="s">
        <v>19</v>
      </c>
      <c r="L35" s="2" t="s">
        <v>34</v>
      </c>
      <c r="N35" s="12" t="n">
        <f aca="false">Q34</f>
        <v>82839</v>
      </c>
      <c r="O35" s="12"/>
      <c r="P35" s="12" t="n">
        <f aca="false">P34+N35</f>
        <v>99619</v>
      </c>
      <c r="Q35" s="12" t="n">
        <f aca="false">I35-P35</f>
        <v>0</v>
      </c>
    </row>
    <row r="36" customFormat="false" ht="12.8" hidden="false" customHeight="false" outlineLevel="0" collapsed="false">
      <c r="F36" s="12"/>
      <c r="G36" s="10"/>
      <c r="H36" s="12"/>
      <c r="I36" s="12"/>
      <c r="N36" s="12"/>
      <c r="O36" s="12"/>
      <c r="P36" s="12"/>
      <c r="Q36" s="12"/>
    </row>
    <row r="37" customFormat="false" ht="12.8" hidden="false" customHeight="false" outlineLevel="0" collapsed="false">
      <c r="F37" s="12"/>
      <c r="G37" s="10"/>
      <c r="H37" s="12" t="n">
        <f aca="false">SUM(H6:H35)</f>
        <v>600</v>
      </c>
      <c r="I37" s="12"/>
      <c r="N37" s="12"/>
      <c r="O37" s="12" t="n">
        <f aca="false">SUM(O6:O35)</f>
        <v>600</v>
      </c>
      <c r="P37" s="12"/>
      <c r="Q37" s="12"/>
    </row>
    <row r="38" customFormat="false" ht="12.8" hidden="false" customHeight="false" outlineLevel="0" collapsed="false">
      <c r="F38" s="12"/>
      <c r="G38" s="10"/>
      <c r="H38" s="12"/>
      <c r="I38" s="12"/>
      <c r="N38" s="12"/>
      <c r="O38" s="12"/>
      <c r="P38" s="12"/>
      <c r="Q38" s="12"/>
    </row>
    <row r="39" customFormat="false" ht="12.8" hidden="false" customHeight="false" outlineLevel="0" collapsed="false">
      <c r="F39" s="12"/>
      <c r="G39" s="10"/>
      <c r="H39" s="12"/>
      <c r="I39" s="12"/>
      <c r="N39" s="12"/>
      <c r="O39" s="12"/>
      <c r="P39" s="12"/>
      <c r="Q39" s="12"/>
    </row>
    <row r="40" customFormat="false" ht="12.8" hidden="false" customHeight="false" outlineLevel="0" collapsed="false">
      <c r="F40" s="12"/>
      <c r="G40" s="10"/>
      <c r="H40" s="12"/>
      <c r="I40" s="12"/>
      <c r="N40" s="12"/>
      <c r="O40" s="12"/>
      <c r="P40" s="12"/>
      <c r="Q40" s="12"/>
    </row>
    <row r="41" customFormat="false" ht="12.8" hidden="false" customHeight="false" outlineLevel="0" collapsed="false">
      <c r="B41" s="22"/>
      <c r="C41" s="22"/>
      <c r="D41" s="22"/>
      <c r="E41" s="23"/>
      <c r="F41" s="24"/>
      <c r="G41" s="10"/>
      <c r="H41" s="23"/>
      <c r="I41" s="12"/>
      <c r="N41" s="12"/>
      <c r="O41" s="12"/>
      <c r="P41" s="12"/>
      <c r="Q41" s="12"/>
    </row>
    <row r="42" customFormat="false" ht="12.8" hidden="false" customHeight="false" outlineLevel="0" collapsed="false">
      <c r="A42" s="25"/>
      <c r="B42" s="26"/>
      <c r="C42" s="26"/>
      <c r="D42" s="26"/>
      <c r="E42" s="27"/>
      <c r="F42" s="28"/>
      <c r="G42" s="26"/>
      <c r="H42" s="23"/>
      <c r="I42" s="23"/>
      <c r="N42" s="12"/>
      <c r="O42" s="12"/>
      <c r="P42" s="12"/>
      <c r="Q42" s="12"/>
    </row>
    <row r="43" customFormat="false" ht="12.8" hidden="false" customHeight="false" outlineLevel="0" collapsed="false">
      <c r="A43" s="25"/>
      <c r="B43" s="26"/>
      <c r="C43" s="26"/>
      <c r="D43" s="26"/>
      <c r="E43" s="26"/>
      <c r="F43" s="27"/>
      <c r="G43" s="26"/>
      <c r="H43" s="23"/>
      <c r="I43" s="12"/>
      <c r="N43" s="12"/>
      <c r="O43" s="12"/>
      <c r="P43" s="12"/>
      <c r="Q43" s="12"/>
    </row>
    <row r="44" customFormat="false" ht="12.8" hidden="false" customHeight="false" outlineLevel="0" collapsed="false">
      <c r="B44" s="10"/>
      <c r="C44" s="10"/>
      <c r="D44" s="10"/>
      <c r="E44" s="10"/>
      <c r="F44" s="23"/>
      <c r="G44" s="10"/>
      <c r="H44" s="23"/>
      <c r="I44" s="12"/>
      <c r="N44" s="12"/>
      <c r="O44" s="12"/>
      <c r="P44" s="12"/>
      <c r="Q44" s="12"/>
    </row>
    <row r="45" customFormat="false" ht="12.8" hidden="false" customHeight="false" outlineLevel="0" collapsed="false">
      <c r="A45" s="25"/>
      <c r="B45" s="26"/>
      <c r="C45" s="26"/>
      <c r="D45" s="26"/>
      <c r="E45" s="26"/>
      <c r="F45" s="26"/>
      <c r="G45" s="27"/>
      <c r="H45" s="27"/>
      <c r="I45" s="12"/>
      <c r="N45" s="12"/>
      <c r="O45" s="12"/>
      <c r="P45" s="12"/>
      <c r="Q45" s="12"/>
    </row>
    <row r="46" customFormat="false" ht="12.8" hidden="false" customHeight="false" outlineLevel="0" collapsed="false">
      <c r="A46" s="25"/>
      <c r="B46" s="26"/>
      <c r="C46" s="26"/>
      <c r="D46" s="26"/>
      <c r="E46" s="26"/>
      <c r="F46" s="27"/>
      <c r="G46" s="27"/>
      <c r="H46" s="23"/>
      <c r="I46" s="12"/>
      <c r="N46" s="12"/>
      <c r="O46" s="12"/>
      <c r="P46" s="12"/>
      <c r="Q46" s="12"/>
    </row>
    <row r="47" customFormat="false" ht="12.8" hidden="false" customHeight="false" outlineLevel="0" collapsed="false">
      <c r="B47" s="10"/>
      <c r="C47" s="10"/>
      <c r="D47" s="10"/>
      <c r="E47" s="10"/>
      <c r="F47" s="29"/>
      <c r="G47" s="24"/>
      <c r="H47" s="24"/>
      <c r="I47" s="12"/>
      <c r="N47" s="12"/>
      <c r="O47" s="12"/>
      <c r="P47" s="12"/>
      <c r="Q47" s="12"/>
    </row>
    <row r="48" customFormat="false" ht="12.8" hidden="false" customHeight="false" outlineLevel="0" collapsed="false">
      <c r="B48" s="22"/>
      <c r="C48" s="10"/>
      <c r="D48" s="23"/>
      <c r="E48" s="23"/>
      <c r="F48" s="24"/>
      <c r="G48" s="24"/>
      <c r="H48" s="23"/>
      <c r="I48" s="12"/>
      <c r="N48" s="12"/>
      <c r="O48" s="12"/>
      <c r="P48" s="12"/>
      <c r="Q48" s="12"/>
    </row>
    <row r="49" customFormat="false" ht="12.8" hidden="false" customHeight="false" outlineLevel="0" collapsed="false">
      <c r="A49" s="25"/>
      <c r="B49" s="30"/>
      <c r="C49" s="26"/>
      <c r="D49" s="30"/>
      <c r="E49" s="30"/>
      <c r="F49" s="27"/>
      <c r="G49" s="27"/>
      <c r="H49" s="23"/>
      <c r="I49" s="12"/>
      <c r="N49" s="12"/>
      <c r="O49" s="12"/>
      <c r="P49" s="12"/>
      <c r="Q49" s="12"/>
    </row>
    <row r="50" customFormat="false" ht="12.8" hidden="false" customHeight="false" outlineLevel="0" collapsed="false">
      <c r="A50" s="25"/>
      <c r="B50" s="30"/>
      <c r="C50" s="26"/>
      <c r="D50" s="30"/>
      <c r="E50" s="30"/>
      <c r="F50" s="27"/>
      <c r="G50" s="23"/>
      <c r="H50" s="23"/>
      <c r="I50" s="12"/>
      <c r="N50" s="12"/>
      <c r="O50" s="12"/>
      <c r="P50" s="12"/>
      <c r="Q50" s="12"/>
    </row>
    <row r="51" customFormat="false" ht="12.8" hidden="false" customHeight="false" outlineLevel="0" collapsed="false">
      <c r="B51" s="10"/>
      <c r="C51" s="10"/>
      <c r="D51" s="10"/>
      <c r="E51" s="10"/>
      <c r="F51" s="23"/>
      <c r="G51" s="23"/>
      <c r="H51" s="23"/>
      <c r="I51" s="12"/>
      <c r="N51" s="12"/>
      <c r="O51" s="12"/>
      <c r="P51" s="12"/>
      <c r="Q51" s="12"/>
    </row>
    <row r="52" customFormat="false" ht="12.8" hidden="false" customHeight="false" outlineLevel="0" collapsed="false">
      <c r="N52" s="12"/>
      <c r="O52" s="12"/>
      <c r="P52" s="12"/>
      <c r="Q52" s="12"/>
    </row>
    <row r="53" customFormat="false" ht="12.8" hidden="false" customHeight="false" outlineLevel="0" collapsed="false">
      <c r="N53" s="12"/>
      <c r="O53" s="12"/>
      <c r="P53" s="12"/>
      <c r="Q53" s="12"/>
    </row>
    <row r="54" customFormat="false" ht="12.8" hidden="false" customHeight="false" outlineLevel="0" collapsed="false">
      <c r="N54" s="12"/>
      <c r="O54" s="12"/>
      <c r="P54" s="12"/>
      <c r="Q54" s="12"/>
    </row>
    <row r="55" customFormat="false" ht="12.8" hidden="false" customHeight="false" outlineLevel="0" collapsed="false">
      <c r="N55" s="12"/>
      <c r="O55" s="12"/>
      <c r="P55" s="12"/>
      <c r="Q55" s="12"/>
    </row>
    <row r="56" customFormat="false" ht="12.8" hidden="false" customHeight="false" outlineLevel="0" collapsed="false">
      <c r="N56" s="12"/>
      <c r="O56" s="12"/>
      <c r="P56" s="12"/>
      <c r="Q56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38" activeCellId="0" sqref="N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0.59"/>
    <col collapsed="false" customWidth="true" hidden="false" outlineLevel="0" max="7" min="7" style="3" width="12.61"/>
    <col collapsed="false" customWidth="true" hidden="false" outlineLevel="0" max="8" min="8" style="12" width="9.06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0.13"/>
    <col collapsed="false" customWidth="true" hidden="false" outlineLevel="0" max="15" min="15" style="3" width="9.06"/>
    <col collapsed="false" customWidth="true" hidden="false" outlineLevel="0" max="16" min="16" style="3" width="11.68"/>
    <col collapsed="false" customWidth="true" hidden="false" outlineLevel="0" max="17" min="17" style="3" width="10.13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May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45413</v>
      </c>
      <c r="B6" s="2" t="s">
        <v>19</v>
      </c>
      <c r="C6" s="2" t="s">
        <v>20</v>
      </c>
      <c r="F6" s="12" t="n">
        <f aca="false">Apr!N35</f>
        <v>82839</v>
      </c>
      <c r="G6" s="12" t="n">
        <f aca="false">Apr!N35</f>
        <v>82839</v>
      </c>
      <c r="I6" s="12" t="n">
        <f aca="false">I5+G6</f>
        <v>82839</v>
      </c>
      <c r="J6" s="1" t="n">
        <v>45413</v>
      </c>
      <c r="N6" s="12"/>
      <c r="O6" s="12"/>
      <c r="P6" s="12" t="n">
        <f aca="false">P5+N6</f>
        <v>0</v>
      </c>
      <c r="Q6" s="12" t="n">
        <f aca="false">I6-P6</f>
        <v>82839</v>
      </c>
    </row>
    <row r="7" customFormat="false" ht="12.8" hidden="false" customHeight="false" outlineLevel="0" collapsed="false">
      <c r="A7" s="1" t="n">
        <v>45414</v>
      </c>
      <c r="C7" s="31"/>
      <c r="F7" s="12"/>
      <c r="G7" s="12" t="n">
        <f aca="false">SUM(E7:F7)</f>
        <v>0</v>
      </c>
      <c r="I7" s="12" t="n">
        <f aca="false">I6+G7</f>
        <v>82839</v>
      </c>
      <c r="J7" s="1" t="n">
        <v>45414</v>
      </c>
      <c r="N7" s="12"/>
      <c r="O7" s="12"/>
      <c r="P7" s="12" t="n">
        <f aca="false">P6+N7</f>
        <v>0</v>
      </c>
      <c r="Q7" s="12" t="n">
        <f aca="false">I7-P7</f>
        <v>82839</v>
      </c>
    </row>
    <row r="8" customFormat="false" ht="24.85" hidden="false" customHeight="false" outlineLevel="0" collapsed="false">
      <c r="A8" s="1" t="n">
        <v>45415</v>
      </c>
      <c r="B8" s="17" t="s">
        <v>26</v>
      </c>
      <c r="C8" s="19" t="s">
        <v>35</v>
      </c>
      <c r="D8" s="2" t="n">
        <v>4</v>
      </c>
      <c r="F8" s="12" t="n">
        <v>10000</v>
      </c>
      <c r="G8" s="12" t="n">
        <f aca="false">SUM(E8:F8)</f>
        <v>10000</v>
      </c>
      <c r="I8" s="12" t="n">
        <f aca="false">I7+G8</f>
        <v>92839</v>
      </c>
      <c r="J8" s="1" t="n">
        <v>45415</v>
      </c>
      <c r="L8" s="31"/>
      <c r="N8" s="12"/>
      <c r="O8" s="12"/>
      <c r="P8" s="12" t="n">
        <f aca="false">P7+N8</f>
        <v>0</v>
      </c>
      <c r="Q8" s="12" t="n">
        <f aca="false">I8-P8</f>
        <v>92839</v>
      </c>
    </row>
    <row r="9" customFormat="false" ht="13.8" hidden="false" customHeight="false" outlineLevel="0" collapsed="false">
      <c r="A9" s="1" t="n">
        <v>45416</v>
      </c>
      <c r="B9" s="17"/>
      <c r="C9" s="19"/>
      <c r="F9" s="12"/>
      <c r="G9" s="12" t="n">
        <f aca="false">SUM(E9:F9)</f>
        <v>0</v>
      </c>
      <c r="I9" s="12" t="n">
        <f aca="false">I8+G9</f>
        <v>92839</v>
      </c>
      <c r="J9" s="1" t="n">
        <v>45416</v>
      </c>
      <c r="L9" s="19"/>
      <c r="N9" s="12"/>
      <c r="O9" s="12"/>
      <c r="P9" s="12" t="n">
        <f aca="false">P8+N9</f>
        <v>0</v>
      </c>
      <c r="Q9" s="12" t="n">
        <f aca="false">I9-P9</f>
        <v>92839</v>
      </c>
    </row>
    <row r="10" customFormat="false" ht="13.8" hidden="false" customHeight="false" outlineLevel="0" collapsed="false">
      <c r="A10" s="1" t="n">
        <v>45417</v>
      </c>
      <c r="C10" s="21"/>
      <c r="D10" s="20"/>
      <c r="F10" s="12"/>
      <c r="G10" s="12" t="n">
        <f aca="false">SUM(E10:F10)</f>
        <v>0</v>
      </c>
      <c r="I10" s="12" t="n">
        <f aca="false">I9+G10</f>
        <v>92839</v>
      </c>
      <c r="J10" s="1" t="n">
        <v>45417</v>
      </c>
      <c r="L10" s="31"/>
      <c r="N10" s="12"/>
      <c r="O10" s="12"/>
      <c r="P10" s="12" t="n">
        <f aca="false">P9+N10</f>
        <v>0</v>
      </c>
      <c r="Q10" s="12" t="n">
        <f aca="false">I10-P10</f>
        <v>92839</v>
      </c>
    </row>
    <row r="11" customFormat="false" ht="13.8" hidden="false" customHeight="false" outlineLevel="0" collapsed="false">
      <c r="A11" s="1" t="n">
        <v>45418</v>
      </c>
      <c r="B11" s="17"/>
      <c r="F11" s="12"/>
      <c r="G11" s="12" t="n">
        <f aca="false">SUM(E11:F11)</f>
        <v>0</v>
      </c>
      <c r="I11" s="12" t="n">
        <f aca="false">I10+G11</f>
        <v>92839</v>
      </c>
      <c r="J11" s="1" t="n">
        <v>45418</v>
      </c>
      <c r="O11" s="12"/>
      <c r="P11" s="12" t="n">
        <f aca="false">P10+N11</f>
        <v>0</v>
      </c>
      <c r="Q11" s="12" t="n">
        <f aca="false">I11-P11</f>
        <v>92839</v>
      </c>
    </row>
    <row r="12" customFormat="false" ht="13.8" hidden="false" customHeight="false" outlineLevel="0" collapsed="false">
      <c r="A12" s="1" t="n">
        <v>45419</v>
      </c>
      <c r="B12" s="17"/>
      <c r="F12" s="12"/>
      <c r="G12" s="12" t="n">
        <f aca="false">SUM(E12:F12)</f>
        <v>0</v>
      </c>
      <c r="I12" s="12" t="n">
        <f aca="false">I11+G12</f>
        <v>92839</v>
      </c>
      <c r="J12" s="1" t="n">
        <v>45419</v>
      </c>
      <c r="K12" s="2" t="s">
        <v>22</v>
      </c>
      <c r="L12" s="2" t="s">
        <v>23</v>
      </c>
      <c r="M12" s="2" t="n">
        <v>9</v>
      </c>
      <c r="N12" s="12" t="n">
        <v>3000</v>
      </c>
      <c r="O12" s="12"/>
      <c r="P12" s="12" t="n">
        <f aca="false">P11+N12</f>
        <v>3000</v>
      </c>
      <c r="Q12" s="12" t="n">
        <f aca="false">I12-P12</f>
        <v>89839</v>
      </c>
    </row>
    <row r="13" customFormat="false" ht="13.8" hidden="false" customHeight="false" outlineLevel="0" collapsed="false">
      <c r="A13" s="1" t="n">
        <v>45420</v>
      </c>
      <c r="C13" s="21"/>
      <c r="D13" s="20"/>
      <c r="F13" s="12"/>
      <c r="G13" s="12" t="n">
        <f aca="false">SUM(E13:F13)</f>
        <v>0</v>
      </c>
      <c r="I13" s="12" t="n">
        <f aca="false">I12+G13</f>
        <v>92839</v>
      </c>
      <c r="J13" s="1" t="n">
        <v>45420</v>
      </c>
      <c r="L13" s="31"/>
      <c r="O13" s="12"/>
      <c r="P13" s="12" t="n">
        <f aca="false">P12+N13</f>
        <v>3000</v>
      </c>
      <c r="Q13" s="12" t="n">
        <f aca="false">I13-P13</f>
        <v>89839</v>
      </c>
    </row>
    <row r="14" customFormat="false" ht="13.8" hidden="false" customHeight="false" outlineLevel="0" collapsed="false">
      <c r="A14" s="1" t="n">
        <v>45421</v>
      </c>
      <c r="C14" s="21"/>
      <c r="D14" s="20"/>
      <c r="F14" s="12"/>
      <c r="G14" s="12" t="n">
        <f aca="false">SUM(E14:F14)</f>
        <v>0</v>
      </c>
      <c r="I14" s="12" t="n">
        <f aca="false">I13+G14</f>
        <v>92839</v>
      </c>
      <c r="J14" s="1" t="n">
        <v>45421</v>
      </c>
      <c r="L14" s="31"/>
      <c r="N14" s="12"/>
      <c r="O14" s="12"/>
      <c r="P14" s="12" t="n">
        <f aca="false">P13+N14</f>
        <v>3000</v>
      </c>
      <c r="Q14" s="12" t="n">
        <f aca="false">I14-P14</f>
        <v>89839</v>
      </c>
    </row>
    <row r="15" customFormat="false" ht="13.8" hidden="false" customHeight="false" outlineLevel="0" collapsed="false">
      <c r="A15" s="1" t="n">
        <v>45422</v>
      </c>
      <c r="C15" s="21"/>
      <c r="D15" s="20"/>
      <c r="F15" s="12"/>
      <c r="G15" s="12" t="n">
        <f aca="false">SUM(E15:F15)</f>
        <v>0</v>
      </c>
      <c r="I15" s="12" t="n">
        <f aca="false">I14+G15</f>
        <v>92839</v>
      </c>
      <c r="J15" s="1" t="n">
        <v>45422</v>
      </c>
      <c r="L15" s="31"/>
      <c r="N15" s="12"/>
      <c r="O15" s="12"/>
      <c r="P15" s="12" t="n">
        <f aca="false">P14+N15</f>
        <v>3000</v>
      </c>
      <c r="Q15" s="12" t="n">
        <f aca="false">I15-P15</f>
        <v>89839</v>
      </c>
    </row>
    <row r="16" customFormat="false" ht="13.8" hidden="false" customHeight="false" outlineLevel="0" collapsed="false">
      <c r="A16" s="1" t="n">
        <v>45423</v>
      </c>
      <c r="C16" s="21"/>
      <c r="D16" s="20"/>
      <c r="F16" s="12"/>
      <c r="G16" s="12" t="n">
        <f aca="false">SUM(E16:F16)</f>
        <v>0</v>
      </c>
      <c r="I16" s="12" t="n">
        <f aca="false">I15+G16</f>
        <v>92839</v>
      </c>
      <c r="J16" s="1" t="n">
        <v>45423</v>
      </c>
      <c r="L16" s="31"/>
      <c r="N16" s="12"/>
      <c r="O16" s="12"/>
      <c r="P16" s="12" t="n">
        <f aca="false">P15+N16</f>
        <v>3000</v>
      </c>
      <c r="Q16" s="12" t="n">
        <f aca="false">I16-P16</f>
        <v>89839</v>
      </c>
    </row>
    <row r="17" customFormat="false" ht="13.8" hidden="false" customHeight="false" outlineLevel="0" collapsed="false">
      <c r="A17" s="1" t="n">
        <v>45424</v>
      </c>
      <c r="C17" s="21"/>
      <c r="D17" s="20"/>
      <c r="F17" s="12"/>
      <c r="G17" s="12" t="n">
        <f aca="false">SUM(E17:F17)</f>
        <v>0</v>
      </c>
      <c r="I17" s="12" t="n">
        <f aca="false">I16+G17</f>
        <v>92839</v>
      </c>
      <c r="J17" s="1" t="n">
        <v>45424</v>
      </c>
      <c r="L17" s="31"/>
      <c r="N17" s="12"/>
      <c r="O17" s="12"/>
      <c r="P17" s="12" t="n">
        <f aca="false">P16+N17</f>
        <v>3000</v>
      </c>
      <c r="Q17" s="12" t="n">
        <f aca="false">I17-P17</f>
        <v>89839</v>
      </c>
    </row>
    <row r="18" customFormat="false" ht="13.8" hidden="false" customHeight="false" outlineLevel="0" collapsed="false">
      <c r="A18" s="1" t="n">
        <v>45425</v>
      </c>
      <c r="C18" s="21"/>
      <c r="D18" s="20"/>
      <c r="F18" s="12"/>
      <c r="G18" s="12" t="n">
        <f aca="false">SUM(E18:F18)</f>
        <v>0</v>
      </c>
      <c r="I18" s="12" t="n">
        <f aca="false">I17+G18</f>
        <v>92839</v>
      </c>
      <c r="J18" s="1" t="n">
        <v>45425</v>
      </c>
      <c r="L18" s="31"/>
      <c r="O18" s="12"/>
      <c r="P18" s="12" t="n">
        <f aca="false">P17+N18</f>
        <v>3000</v>
      </c>
      <c r="Q18" s="12" t="n">
        <f aca="false">I18-P18</f>
        <v>89839</v>
      </c>
    </row>
    <row r="19" customFormat="false" ht="13.8" hidden="false" customHeight="false" outlineLevel="0" collapsed="false">
      <c r="A19" s="1" t="n">
        <v>45426</v>
      </c>
      <c r="B19" s="17"/>
      <c r="F19" s="12"/>
      <c r="G19" s="12" t="n">
        <f aca="false">SUM(E19:F19)</f>
        <v>0</v>
      </c>
      <c r="I19" s="12" t="n">
        <f aca="false">I18+G19</f>
        <v>92839</v>
      </c>
      <c r="J19" s="1" t="n">
        <v>45426</v>
      </c>
      <c r="K19" s="2" t="s">
        <v>30</v>
      </c>
      <c r="L19" s="2" t="s">
        <v>31</v>
      </c>
      <c r="M19" s="2" t="n">
        <v>11</v>
      </c>
      <c r="N19" s="12" t="n">
        <v>500</v>
      </c>
      <c r="O19" s="12"/>
      <c r="P19" s="12" t="n">
        <f aca="false">P18+N19</f>
        <v>3500</v>
      </c>
      <c r="Q19" s="12" t="n">
        <f aca="false">I19-P19</f>
        <v>89339</v>
      </c>
    </row>
    <row r="20" customFormat="false" ht="13.8" hidden="false" customHeight="false" outlineLevel="0" collapsed="false">
      <c r="A20" s="1" t="n">
        <v>45427</v>
      </c>
      <c r="C20" s="21"/>
      <c r="D20" s="20"/>
      <c r="F20" s="12"/>
      <c r="G20" s="12" t="n">
        <f aca="false">SUM(E20:F20)</f>
        <v>0</v>
      </c>
      <c r="I20" s="12" t="n">
        <f aca="false">I19+G20</f>
        <v>92839</v>
      </c>
      <c r="J20" s="1" t="n">
        <v>45427</v>
      </c>
      <c r="L20" s="31"/>
      <c r="N20" s="12"/>
      <c r="O20" s="12"/>
      <c r="P20" s="12" t="n">
        <f aca="false">P19+N20</f>
        <v>3500</v>
      </c>
      <c r="Q20" s="12" t="n">
        <f aca="false">I20-P20</f>
        <v>89339</v>
      </c>
    </row>
    <row r="21" customFormat="false" ht="13.8" hidden="false" customHeight="false" outlineLevel="0" collapsed="false">
      <c r="A21" s="1" t="n">
        <v>45428</v>
      </c>
      <c r="C21" s="21"/>
      <c r="D21" s="20"/>
      <c r="F21" s="12"/>
      <c r="G21" s="12" t="n">
        <f aca="false">SUM(E21:F21)</f>
        <v>0</v>
      </c>
      <c r="I21" s="12" t="n">
        <f aca="false">I20+G21</f>
        <v>92839</v>
      </c>
      <c r="J21" s="1" t="n">
        <v>45428</v>
      </c>
      <c r="L21" s="31"/>
      <c r="N21" s="12"/>
      <c r="O21" s="12"/>
      <c r="P21" s="12" t="n">
        <f aca="false">P20+N21</f>
        <v>3500</v>
      </c>
      <c r="Q21" s="12" t="n">
        <f aca="false">I21-P21</f>
        <v>89339</v>
      </c>
    </row>
    <row r="22" customFormat="false" ht="13.8" hidden="false" customHeight="false" outlineLevel="0" collapsed="false">
      <c r="A22" s="1" t="n">
        <v>45429</v>
      </c>
      <c r="C22" s="21"/>
      <c r="D22" s="20"/>
      <c r="F22" s="12"/>
      <c r="G22" s="12" t="n">
        <f aca="false">SUM(E22:F22)</f>
        <v>0</v>
      </c>
      <c r="I22" s="12" t="n">
        <f aca="false">I21+G22</f>
        <v>92839</v>
      </c>
      <c r="J22" s="1" t="n">
        <v>45429</v>
      </c>
      <c r="L22" s="31"/>
      <c r="N22" s="12"/>
      <c r="O22" s="12"/>
      <c r="P22" s="12" t="n">
        <f aca="false">P21+N22</f>
        <v>3500</v>
      </c>
      <c r="Q22" s="12" t="n">
        <f aca="false">I22-P22</f>
        <v>89339</v>
      </c>
    </row>
    <row r="23" customFormat="false" ht="12.8" hidden="false" customHeight="false" outlineLevel="0" collapsed="false">
      <c r="A23" s="1" t="n">
        <v>45430</v>
      </c>
      <c r="F23" s="12"/>
      <c r="G23" s="12" t="n">
        <f aca="false">SUM(E23:F23)</f>
        <v>0</v>
      </c>
      <c r="I23" s="12" t="n">
        <f aca="false">I22+G23</f>
        <v>92839</v>
      </c>
      <c r="J23" s="1" t="n">
        <v>45430</v>
      </c>
      <c r="L23" s="31"/>
      <c r="N23" s="12"/>
      <c r="O23" s="12"/>
      <c r="P23" s="12" t="n">
        <f aca="false">P22+N23</f>
        <v>3500</v>
      </c>
      <c r="Q23" s="12" t="n">
        <f aca="false">I23-P23</f>
        <v>89339</v>
      </c>
    </row>
    <row r="24" customFormat="false" ht="12.8" hidden="false" customHeight="false" outlineLevel="0" collapsed="false">
      <c r="A24" s="1" t="n">
        <v>45431</v>
      </c>
      <c r="F24" s="12"/>
      <c r="G24" s="12" t="n">
        <f aca="false">SUM(E24:F24)</f>
        <v>0</v>
      </c>
      <c r="I24" s="12" t="n">
        <f aca="false">I23+G24</f>
        <v>92839</v>
      </c>
      <c r="J24" s="1" t="n">
        <v>45431</v>
      </c>
      <c r="L24" s="32"/>
      <c r="N24" s="12"/>
      <c r="O24" s="12"/>
      <c r="P24" s="12" t="n">
        <f aca="false">P23+N24</f>
        <v>3500</v>
      </c>
      <c r="Q24" s="12" t="n">
        <f aca="false">I24-P24</f>
        <v>89339</v>
      </c>
    </row>
    <row r="25" customFormat="false" ht="12.8" hidden="false" customHeight="false" outlineLevel="0" collapsed="false">
      <c r="A25" s="1" t="n">
        <v>45432</v>
      </c>
      <c r="C25" s="33"/>
      <c r="F25" s="12"/>
      <c r="G25" s="12" t="n">
        <f aca="false">SUM(E25:F25)</f>
        <v>0</v>
      </c>
      <c r="I25" s="12" t="n">
        <f aca="false">I24+G25</f>
        <v>92839</v>
      </c>
      <c r="J25" s="1" t="n">
        <v>45432</v>
      </c>
      <c r="L25" s="31"/>
      <c r="N25" s="12"/>
      <c r="O25" s="12"/>
      <c r="P25" s="12" t="n">
        <f aca="false">P24+N25</f>
        <v>3500</v>
      </c>
      <c r="Q25" s="12" t="n">
        <f aca="false">I25-P25</f>
        <v>89339</v>
      </c>
    </row>
    <row r="26" customFormat="false" ht="12.8" hidden="false" customHeight="false" outlineLevel="0" collapsed="false">
      <c r="A26" s="1" t="n">
        <v>45433</v>
      </c>
      <c r="C26" s="34"/>
      <c r="F26" s="12"/>
      <c r="G26" s="12" t="n">
        <f aca="false">SUM(E26:F26)</f>
        <v>0</v>
      </c>
      <c r="I26" s="12" t="n">
        <f aca="false">I25+G26</f>
        <v>92839</v>
      </c>
      <c r="J26" s="1" t="n">
        <v>45433</v>
      </c>
      <c r="N26" s="12"/>
      <c r="O26" s="12"/>
      <c r="P26" s="12" t="n">
        <f aca="false">P25+N26</f>
        <v>3500</v>
      </c>
      <c r="Q26" s="12" t="n">
        <f aca="false">I26-P26</f>
        <v>89339</v>
      </c>
    </row>
    <row r="27" customFormat="false" ht="36.45" hidden="false" customHeight="false" outlineLevel="0" collapsed="false">
      <c r="A27" s="1" t="n">
        <v>45434</v>
      </c>
      <c r="B27" s="2" t="s">
        <v>28</v>
      </c>
      <c r="C27" s="16" t="s">
        <v>36</v>
      </c>
      <c r="F27" s="12"/>
      <c r="G27" s="12" t="n">
        <f aca="false">SUM(E27:F27)</f>
        <v>0</v>
      </c>
      <c r="H27" s="12" t="n">
        <f aca="false">2160*1.1</f>
        <v>2376</v>
      </c>
      <c r="I27" s="12" t="n">
        <f aca="false">I26+G27</f>
        <v>92839</v>
      </c>
      <c r="J27" s="1" t="n">
        <v>45434</v>
      </c>
      <c r="K27" s="2" t="s">
        <v>26</v>
      </c>
      <c r="L27" s="16" t="s">
        <v>36</v>
      </c>
      <c r="M27" s="2" t="n">
        <v>9</v>
      </c>
      <c r="N27" s="12"/>
      <c r="O27" s="12" t="n">
        <v>2160</v>
      </c>
      <c r="P27" s="12" t="n">
        <f aca="false">P26+N27</f>
        <v>3500</v>
      </c>
      <c r="Q27" s="12" t="n">
        <f aca="false">I27-P27</f>
        <v>89339</v>
      </c>
    </row>
    <row r="28" customFormat="false" ht="36.45" hidden="false" customHeight="false" outlineLevel="0" collapsed="false">
      <c r="A28" s="1" t="n">
        <v>45434</v>
      </c>
      <c r="B28" s="2" t="s">
        <v>28</v>
      </c>
      <c r="C28" s="16" t="s">
        <v>37</v>
      </c>
      <c r="F28" s="12"/>
      <c r="G28" s="12"/>
      <c r="I28" s="12" t="n">
        <f aca="false">I27+G28</f>
        <v>92839</v>
      </c>
      <c r="K28" s="2" t="s">
        <v>38</v>
      </c>
      <c r="L28" s="35"/>
      <c r="N28" s="12"/>
      <c r="O28" s="12" t="n">
        <v>216</v>
      </c>
      <c r="P28" s="12" t="n">
        <f aca="false">P27+N28</f>
        <v>3500</v>
      </c>
      <c r="Q28" s="12" t="n">
        <f aca="false">I28-P28</f>
        <v>89339</v>
      </c>
    </row>
    <row r="29" customFormat="false" ht="36.45" hidden="false" customHeight="false" outlineLevel="0" collapsed="false">
      <c r="A29" s="1" t="n">
        <v>45434</v>
      </c>
      <c r="C29" s="16"/>
      <c r="F29" s="12"/>
      <c r="G29" s="12"/>
      <c r="H29" s="12" t="n">
        <f aca="false">4950*1.1</f>
        <v>5445</v>
      </c>
      <c r="I29" s="12" t="n">
        <f aca="false">I28+G29</f>
        <v>92839</v>
      </c>
      <c r="K29" s="2" t="s">
        <v>26</v>
      </c>
      <c r="L29" s="16" t="s">
        <v>37</v>
      </c>
      <c r="N29" s="12"/>
      <c r="O29" s="12" t="n">
        <v>4950</v>
      </c>
      <c r="P29" s="12" t="n">
        <f aca="false">P28+N29</f>
        <v>3500</v>
      </c>
      <c r="Q29" s="12" t="n">
        <f aca="false">I29-P29</f>
        <v>89339</v>
      </c>
    </row>
    <row r="30" customFormat="false" ht="12.8" hidden="false" customHeight="false" outlineLevel="0" collapsed="false">
      <c r="A30" s="1" t="n">
        <v>45434</v>
      </c>
      <c r="F30" s="12"/>
      <c r="G30" s="12" t="n">
        <f aca="false">SUM(E30:F30)</f>
        <v>0</v>
      </c>
      <c r="I30" s="12" t="n">
        <f aca="false">I29+G30</f>
        <v>92839</v>
      </c>
      <c r="J30" s="1" t="n">
        <v>45434</v>
      </c>
      <c r="K30" s="2" t="s">
        <v>38</v>
      </c>
      <c r="L30" s="31"/>
      <c r="N30" s="12"/>
      <c r="O30" s="36" t="n">
        <v>495</v>
      </c>
      <c r="P30" s="12" t="n">
        <f aca="false">P29+N30</f>
        <v>3500</v>
      </c>
      <c r="Q30" s="12" t="n">
        <f aca="false">I30-P30</f>
        <v>89339</v>
      </c>
    </row>
    <row r="31" customFormat="false" ht="13.8" hidden="false" customHeight="false" outlineLevel="0" collapsed="false">
      <c r="A31" s="1" t="n">
        <v>45436</v>
      </c>
      <c r="C31" s="21"/>
      <c r="D31" s="20"/>
      <c r="F31" s="12"/>
      <c r="G31" s="12" t="n">
        <f aca="false">SUM(E31:F31)</f>
        <v>0</v>
      </c>
      <c r="I31" s="12" t="n">
        <f aca="false">I30+G31</f>
        <v>92839</v>
      </c>
      <c r="J31" s="1" t="n">
        <v>45436</v>
      </c>
      <c r="L31" s="31"/>
      <c r="N31" s="12"/>
      <c r="O31" s="12"/>
      <c r="P31" s="12" t="n">
        <f aca="false">P30+N31</f>
        <v>3500</v>
      </c>
      <c r="Q31" s="12" t="n">
        <f aca="false">I31-P31</f>
        <v>89339</v>
      </c>
    </row>
    <row r="32" customFormat="false" ht="13.8" hidden="false" customHeight="false" outlineLevel="0" collapsed="false">
      <c r="A32" s="1" t="n">
        <v>45437</v>
      </c>
      <c r="C32" s="21"/>
      <c r="D32" s="20"/>
      <c r="F32" s="12"/>
      <c r="G32" s="12" t="n">
        <f aca="false">SUM(E32:F32)</f>
        <v>0</v>
      </c>
      <c r="I32" s="12" t="n">
        <f aca="false">I31+G32</f>
        <v>92839</v>
      </c>
      <c r="J32" s="1" t="n">
        <v>45437</v>
      </c>
      <c r="L32" s="31"/>
      <c r="N32" s="12"/>
      <c r="O32" s="12"/>
      <c r="P32" s="12" t="n">
        <f aca="false">P31+N32</f>
        <v>3500</v>
      </c>
      <c r="Q32" s="12" t="n">
        <f aca="false">I32-P32</f>
        <v>89339</v>
      </c>
    </row>
    <row r="33" customFormat="false" ht="12.8" hidden="false" customHeight="false" outlineLevel="0" collapsed="false">
      <c r="A33" s="1" t="n">
        <v>45438</v>
      </c>
      <c r="F33" s="12"/>
      <c r="G33" s="12" t="n">
        <f aca="false">SUM(E33:F33)</f>
        <v>0</v>
      </c>
      <c r="I33" s="12" t="n">
        <f aca="false">I32+G33</f>
        <v>92839</v>
      </c>
      <c r="J33" s="1" t="n">
        <v>45438</v>
      </c>
      <c r="L33" s="31"/>
      <c r="N33" s="12"/>
      <c r="O33" s="12"/>
      <c r="P33" s="12" t="n">
        <f aca="false">P32+N33</f>
        <v>3500</v>
      </c>
      <c r="Q33" s="12" t="n">
        <f aca="false">I33-P33</f>
        <v>89339</v>
      </c>
    </row>
    <row r="34" customFormat="false" ht="13.8" hidden="false" customHeight="false" outlineLevel="0" collapsed="false">
      <c r="A34" s="1" t="n">
        <v>45439</v>
      </c>
      <c r="C34" s="21"/>
      <c r="D34" s="20"/>
      <c r="F34" s="12"/>
      <c r="G34" s="12" t="n">
        <f aca="false">SUM(E34:F34)</f>
        <v>0</v>
      </c>
      <c r="I34" s="12" t="n">
        <f aca="false">I33+G34</f>
        <v>92839</v>
      </c>
      <c r="J34" s="1" t="n">
        <v>45439</v>
      </c>
      <c r="L34" s="31"/>
      <c r="N34" s="12"/>
      <c r="O34" s="12"/>
      <c r="P34" s="12" t="n">
        <f aca="false">P33+N34</f>
        <v>3500</v>
      </c>
      <c r="Q34" s="12" t="n">
        <f aca="false">I34-P34</f>
        <v>89339</v>
      </c>
    </row>
    <row r="35" customFormat="false" ht="12.8" hidden="false" customHeight="false" outlineLevel="0" collapsed="false">
      <c r="A35" s="1" t="n">
        <v>45440</v>
      </c>
      <c r="F35" s="12"/>
      <c r="G35" s="12" t="n">
        <f aca="false">SUM(E35:F35)</f>
        <v>0</v>
      </c>
      <c r="I35" s="12" t="n">
        <f aca="false">I34+G35</f>
        <v>92839</v>
      </c>
      <c r="J35" s="1" t="n">
        <v>45440</v>
      </c>
      <c r="L35" s="31"/>
      <c r="N35" s="12"/>
      <c r="O35" s="12"/>
      <c r="P35" s="12" t="n">
        <f aca="false">P34+N35</f>
        <v>3500</v>
      </c>
      <c r="Q35" s="12" t="n">
        <f aca="false">I35-P35</f>
        <v>89339</v>
      </c>
    </row>
    <row r="36" customFormat="false" ht="24.85" hidden="false" customHeight="false" outlineLevel="0" collapsed="false">
      <c r="A36" s="1" t="n">
        <v>45441</v>
      </c>
      <c r="B36" s="2" t="s">
        <v>26</v>
      </c>
      <c r="C36" s="19" t="s">
        <v>39</v>
      </c>
      <c r="D36" s="2" t="n">
        <v>4</v>
      </c>
      <c r="F36" s="3" t="n">
        <v>10000</v>
      </c>
      <c r="G36" s="12" t="n">
        <f aca="false">SUM(E36:F36)</f>
        <v>10000</v>
      </c>
      <c r="I36" s="12" t="n">
        <f aca="false">I35+G36</f>
        <v>102839</v>
      </c>
      <c r="J36" s="1" t="n">
        <v>45441</v>
      </c>
      <c r="N36" s="12"/>
      <c r="O36" s="12"/>
      <c r="P36" s="12" t="n">
        <f aca="false">P35+N36</f>
        <v>3500</v>
      </c>
      <c r="Q36" s="12" t="n">
        <f aca="false">I36-P36</f>
        <v>99339</v>
      </c>
    </row>
    <row r="37" customFormat="false" ht="12.8" hidden="false" customHeight="false" outlineLevel="0" collapsed="false">
      <c r="A37" s="1" t="n">
        <v>45442</v>
      </c>
      <c r="G37" s="12" t="n">
        <f aca="false">SUM(E37:F37)</f>
        <v>0</v>
      </c>
      <c r="I37" s="12" t="n">
        <f aca="false">I36+G37</f>
        <v>102839</v>
      </c>
      <c r="J37" s="1" t="n">
        <v>45442</v>
      </c>
      <c r="K37" s="2" t="s">
        <v>30</v>
      </c>
      <c r="L37" s="2" t="s">
        <v>31</v>
      </c>
      <c r="M37" s="2" t="n">
        <v>11</v>
      </c>
      <c r="N37" s="12" t="n">
        <v>2000</v>
      </c>
      <c r="O37" s="12"/>
      <c r="P37" s="12" t="n">
        <f aca="false">P36+N37</f>
        <v>5500</v>
      </c>
      <c r="Q37" s="12" t="n">
        <f aca="false">I37-P37</f>
        <v>97339</v>
      </c>
    </row>
    <row r="38" customFormat="false" ht="12.8" hidden="false" customHeight="false" outlineLevel="0" collapsed="false">
      <c r="A38" s="1" t="n">
        <v>45443</v>
      </c>
      <c r="G38" s="12" t="n">
        <f aca="false">SUM(E38:F38)</f>
        <v>0</v>
      </c>
      <c r="I38" s="12" t="n">
        <f aca="false">I37+G38</f>
        <v>102839</v>
      </c>
      <c r="J38" s="1" t="n">
        <v>45443</v>
      </c>
      <c r="N38" s="12"/>
      <c r="O38" s="12"/>
      <c r="P38" s="12" t="n">
        <f aca="false">P37+N38</f>
        <v>5500</v>
      </c>
      <c r="Q38" s="12" t="n">
        <f aca="false">I38-P38</f>
        <v>97339</v>
      </c>
    </row>
    <row r="39" customFormat="false" ht="12.8" hidden="false" customHeight="false" outlineLevel="0" collapsed="false">
      <c r="A39" s="1" t="n">
        <v>45444</v>
      </c>
      <c r="G39" s="12" t="n">
        <f aca="false">SUM(E39:F39)</f>
        <v>0</v>
      </c>
      <c r="I39" s="12" t="n">
        <f aca="false">I38+G39</f>
        <v>102839</v>
      </c>
      <c r="J39" s="1" t="n">
        <v>45444</v>
      </c>
      <c r="K39" s="2" t="s">
        <v>19</v>
      </c>
      <c r="L39" s="2" t="s">
        <v>34</v>
      </c>
      <c r="N39" s="12" t="n">
        <f aca="false">Q38</f>
        <v>97339</v>
      </c>
      <c r="P39" s="12" t="n">
        <f aca="false">P38+N39</f>
        <v>102839</v>
      </c>
      <c r="Q39" s="12" t="n">
        <f aca="false">I39-P39</f>
        <v>0</v>
      </c>
    </row>
    <row r="41" customFormat="false" ht="12.8" hidden="false" customHeight="false" outlineLevel="0" collapsed="false">
      <c r="H41" s="12" t="n">
        <f aca="false">SUM(H6:H39)</f>
        <v>7821</v>
      </c>
      <c r="O41" s="12" t="n">
        <f aca="false">SUM(O6:O39)</f>
        <v>7821</v>
      </c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7" activeCellId="0" sqref="K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0.13"/>
    <col collapsed="false" customWidth="true" hidden="false" outlineLevel="0" max="7" min="7" style="3" width="12.61"/>
    <col collapsed="false" customWidth="true" hidden="false" outlineLevel="0" max="8" min="8" style="3" width="5.65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9.06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Jun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45444</v>
      </c>
      <c r="B6" s="2" t="s">
        <v>19</v>
      </c>
      <c r="C6" s="2" t="s">
        <v>20</v>
      </c>
      <c r="F6" s="12" t="n">
        <f aca="false">May!N39</f>
        <v>97339</v>
      </c>
      <c r="G6" s="12" t="n">
        <f aca="false">May!N39</f>
        <v>97339</v>
      </c>
      <c r="H6" s="12"/>
      <c r="I6" s="12" t="n">
        <f aca="false">I5+G6</f>
        <v>97339</v>
      </c>
      <c r="J6" s="1" t="n">
        <v>45444</v>
      </c>
      <c r="L6" s="35"/>
      <c r="N6" s="12"/>
      <c r="O6" s="12"/>
      <c r="P6" s="12" t="n">
        <f aca="false">P5+N6</f>
        <v>0</v>
      </c>
      <c r="Q6" s="12" t="n">
        <f aca="false">I6-P6</f>
        <v>97339</v>
      </c>
    </row>
    <row r="7" customFormat="false" ht="24.85" hidden="false" customHeight="false" outlineLevel="0" collapsed="false">
      <c r="A7" s="1" t="n">
        <v>45444</v>
      </c>
      <c r="B7" s="2" t="s">
        <v>28</v>
      </c>
      <c r="C7" s="16" t="s">
        <v>40</v>
      </c>
      <c r="D7" s="2" t="n">
        <v>1</v>
      </c>
      <c r="F7" s="12"/>
      <c r="G7" s="12" t="n">
        <f aca="false">SUM(E7:F7)</f>
        <v>0</v>
      </c>
      <c r="H7" s="12"/>
      <c r="I7" s="12" t="n">
        <f aca="false">I6+G7</f>
        <v>97339</v>
      </c>
      <c r="J7" s="1" t="n">
        <v>45444</v>
      </c>
      <c r="K7" s="2" t="s">
        <v>26</v>
      </c>
      <c r="L7" s="16" t="s">
        <v>40</v>
      </c>
      <c r="N7" s="12"/>
      <c r="O7" s="12" t="n">
        <v>6300</v>
      </c>
      <c r="P7" s="12" t="n">
        <f aca="false">P6+N7</f>
        <v>0</v>
      </c>
      <c r="Q7" s="12" t="n">
        <f aca="false">I7-P7</f>
        <v>97339</v>
      </c>
    </row>
    <row r="8" customFormat="false" ht="12.8" hidden="false" customHeight="false" outlineLevel="0" collapsed="false">
      <c r="A8" s="1" t="n">
        <v>45444</v>
      </c>
      <c r="C8" s="14"/>
      <c r="F8" s="12"/>
      <c r="G8" s="12" t="n">
        <f aca="false">SUM(E8:F8)</f>
        <v>0</v>
      </c>
      <c r="H8" s="12"/>
      <c r="I8" s="12" t="n">
        <f aca="false">I7+G8</f>
        <v>97339</v>
      </c>
      <c r="J8" s="1" t="n">
        <v>45444</v>
      </c>
      <c r="K8" s="2" t="s">
        <v>38</v>
      </c>
      <c r="N8" s="12"/>
      <c r="O8" s="37" t="n">
        <v>630</v>
      </c>
      <c r="P8" s="12" t="n">
        <f aca="false">P7+N8</f>
        <v>0</v>
      </c>
      <c r="Q8" s="12" t="n">
        <f aca="false">I8-P8</f>
        <v>97339</v>
      </c>
    </row>
    <row r="9" customFormat="false" ht="12.8" hidden="false" customHeight="false" outlineLevel="0" collapsed="false">
      <c r="A9" s="1" t="n">
        <v>45447</v>
      </c>
      <c r="C9" s="14"/>
      <c r="F9" s="12"/>
      <c r="G9" s="12" t="n">
        <f aca="false">SUM(E9:F9)</f>
        <v>0</v>
      </c>
      <c r="H9" s="12"/>
      <c r="I9" s="12" t="n">
        <f aca="false">I8+G9</f>
        <v>97339</v>
      </c>
      <c r="J9" s="1" t="n">
        <v>45447</v>
      </c>
      <c r="L9" s="14"/>
      <c r="N9" s="12"/>
      <c r="O9" s="37"/>
      <c r="P9" s="12" t="n">
        <f aca="false">P8+N9</f>
        <v>0</v>
      </c>
      <c r="Q9" s="12" t="n">
        <f aca="false">I9-P9</f>
        <v>97339</v>
      </c>
    </row>
    <row r="10" customFormat="false" ht="12.8" hidden="false" customHeight="false" outlineLevel="0" collapsed="false">
      <c r="A10" s="1" t="n">
        <v>45448</v>
      </c>
      <c r="F10" s="12"/>
      <c r="G10" s="12" t="n">
        <f aca="false">SUM(E10:F10)</f>
        <v>0</v>
      </c>
      <c r="H10" s="12"/>
      <c r="I10" s="12" t="n">
        <f aca="false">I9+G10</f>
        <v>97339</v>
      </c>
      <c r="J10" s="1" t="n">
        <v>45448</v>
      </c>
      <c r="N10" s="12"/>
      <c r="O10" s="12"/>
      <c r="P10" s="12" t="n">
        <f aca="false">P9+N10</f>
        <v>0</v>
      </c>
      <c r="Q10" s="12" t="n">
        <f aca="false">I10-P10</f>
        <v>97339</v>
      </c>
    </row>
    <row r="11" customFormat="false" ht="12.8" hidden="false" customHeight="false" outlineLevel="0" collapsed="false">
      <c r="A11" s="1" t="n">
        <v>45449</v>
      </c>
      <c r="F11" s="12"/>
      <c r="G11" s="12" t="n">
        <f aca="false">SUM(E11:F11)</f>
        <v>0</v>
      </c>
      <c r="H11" s="12"/>
      <c r="I11" s="12" t="n">
        <f aca="false">I10+G11</f>
        <v>97339</v>
      </c>
      <c r="J11" s="1" t="n">
        <v>45449</v>
      </c>
      <c r="N11" s="12"/>
      <c r="O11" s="12"/>
      <c r="P11" s="12" t="n">
        <f aca="false">P10+N11</f>
        <v>0</v>
      </c>
      <c r="Q11" s="12" t="n">
        <f aca="false">I11-P11</f>
        <v>97339</v>
      </c>
    </row>
    <row r="12" customFormat="false" ht="12.8" hidden="false" customHeight="false" outlineLevel="0" collapsed="false">
      <c r="A12" s="1" t="n">
        <v>45450</v>
      </c>
      <c r="C12" s="14"/>
      <c r="F12" s="12"/>
      <c r="G12" s="12" t="n">
        <f aca="false">SUM(E12:F12)</f>
        <v>0</v>
      </c>
      <c r="H12" s="12"/>
      <c r="I12" s="12" t="n">
        <f aca="false">I11+G12</f>
        <v>97339</v>
      </c>
      <c r="J12" s="1" t="n">
        <v>45450</v>
      </c>
      <c r="O12" s="12"/>
      <c r="P12" s="12" t="n">
        <f aca="false">P11+N12</f>
        <v>0</v>
      </c>
      <c r="Q12" s="12" t="n">
        <f aca="false">I12-P12</f>
        <v>97339</v>
      </c>
    </row>
    <row r="13" customFormat="false" ht="12.8" hidden="false" customHeight="false" outlineLevel="0" collapsed="false">
      <c r="A13" s="1" t="n">
        <v>45451</v>
      </c>
      <c r="C13" s="14"/>
      <c r="F13" s="12"/>
      <c r="G13" s="12" t="n">
        <f aca="false">SUM(E13:F13)</f>
        <v>0</v>
      </c>
      <c r="H13" s="12"/>
      <c r="I13" s="12" t="n">
        <f aca="false">I12+G13</f>
        <v>97339</v>
      </c>
      <c r="J13" s="1" t="n">
        <v>45451</v>
      </c>
      <c r="L13" s="14"/>
      <c r="N13" s="12"/>
      <c r="O13" s="12"/>
      <c r="P13" s="12" t="n">
        <f aca="false">P12+N13</f>
        <v>0</v>
      </c>
      <c r="Q13" s="12" t="n">
        <f aca="false">I13-P13</f>
        <v>97339</v>
      </c>
    </row>
    <row r="14" customFormat="false" ht="12.8" hidden="false" customHeight="false" outlineLevel="0" collapsed="false">
      <c r="A14" s="1" t="n">
        <v>45452</v>
      </c>
      <c r="C14" s="15"/>
      <c r="F14" s="12"/>
      <c r="G14" s="12" t="n">
        <f aca="false">SUM(E14:F14)</f>
        <v>0</v>
      </c>
      <c r="H14" s="12"/>
      <c r="I14" s="12" t="n">
        <f aca="false">I13+G14</f>
        <v>97339</v>
      </c>
      <c r="J14" s="1" t="n">
        <v>45452</v>
      </c>
      <c r="L14" s="38"/>
      <c r="N14" s="12"/>
      <c r="O14" s="12"/>
      <c r="P14" s="12" t="n">
        <f aca="false">P13+N14</f>
        <v>0</v>
      </c>
      <c r="Q14" s="12" t="n">
        <f aca="false">I14-P14</f>
        <v>97339</v>
      </c>
    </row>
    <row r="15" customFormat="false" ht="12.8" hidden="false" customHeight="false" outlineLevel="0" collapsed="false">
      <c r="A15" s="1" t="n">
        <v>45453</v>
      </c>
      <c r="F15" s="12"/>
      <c r="G15" s="12" t="n">
        <f aca="false">SUM(E15:F15)</f>
        <v>0</v>
      </c>
      <c r="H15" s="12"/>
      <c r="I15" s="12" t="n">
        <f aca="false">I14+G15</f>
        <v>97339</v>
      </c>
      <c r="J15" s="1" t="n">
        <v>45453</v>
      </c>
      <c r="N15" s="12"/>
      <c r="O15" s="12"/>
      <c r="P15" s="12" t="n">
        <f aca="false">P14+N15</f>
        <v>0</v>
      </c>
      <c r="Q15" s="12" t="n">
        <f aca="false">I15-P15</f>
        <v>97339</v>
      </c>
    </row>
    <row r="16" customFormat="false" ht="12.8" hidden="false" customHeight="false" outlineLevel="0" collapsed="false">
      <c r="A16" s="1" t="n">
        <v>45454</v>
      </c>
      <c r="F16" s="12"/>
      <c r="G16" s="12" t="n">
        <f aca="false">SUM(E16:F16)</f>
        <v>0</v>
      </c>
      <c r="H16" s="12"/>
      <c r="I16" s="12" t="n">
        <f aca="false">I15+G16</f>
        <v>97339</v>
      </c>
      <c r="J16" s="1" t="n">
        <v>45454</v>
      </c>
      <c r="N16" s="12"/>
      <c r="O16" s="12"/>
      <c r="P16" s="12" t="n">
        <f aca="false">P15+N16</f>
        <v>0</v>
      </c>
      <c r="Q16" s="12" t="n">
        <f aca="false">I16-P16</f>
        <v>97339</v>
      </c>
    </row>
    <row r="17" customFormat="false" ht="12.8" hidden="false" customHeight="false" outlineLevel="0" collapsed="false">
      <c r="A17" s="1" t="n">
        <v>45455</v>
      </c>
      <c r="F17" s="12"/>
      <c r="G17" s="12" t="n">
        <f aca="false">SUM(E17:F17)</f>
        <v>0</v>
      </c>
      <c r="H17" s="12"/>
      <c r="I17" s="12" t="n">
        <f aca="false">I16+G17</f>
        <v>97339</v>
      </c>
      <c r="J17" s="1" t="n">
        <v>45455</v>
      </c>
      <c r="N17" s="12"/>
      <c r="O17" s="12"/>
      <c r="P17" s="12" t="n">
        <f aca="false">P16+N17</f>
        <v>0</v>
      </c>
      <c r="Q17" s="12" t="n">
        <f aca="false">I17-P17</f>
        <v>97339</v>
      </c>
    </row>
    <row r="18" customFormat="false" ht="12.8" hidden="false" customHeight="false" outlineLevel="0" collapsed="false">
      <c r="A18" s="1" t="n">
        <v>45456</v>
      </c>
      <c r="F18" s="12"/>
      <c r="G18" s="12" t="n">
        <f aca="false">SUM(E18:F18)</f>
        <v>0</v>
      </c>
      <c r="H18" s="12"/>
      <c r="I18" s="12" t="n">
        <f aca="false">I17+G18</f>
        <v>97339</v>
      </c>
      <c r="J18" s="1" t="n">
        <v>45456</v>
      </c>
      <c r="N18" s="12"/>
      <c r="O18" s="12"/>
      <c r="P18" s="12" t="n">
        <f aca="false">P17+N18</f>
        <v>0</v>
      </c>
      <c r="Q18" s="12" t="n">
        <f aca="false">I18-P18</f>
        <v>97339</v>
      </c>
    </row>
    <row r="19" customFormat="false" ht="12.8" hidden="false" customHeight="false" outlineLevel="0" collapsed="false">
      <c r="A19" s="1" t="n">
        <v>45457</v>
      </c>
      <c r="C19" s="34"/>
      <c r="F19" s="12"/>
      <c r="G19" s="12" t="n">
        <f aca="false">SUM(E19:F19)</f>
        <v>0</v>
      </c>
      <c r="H19" s="12"/>
      <c r="I19" s="12" t="n">
        <f aca="false">I18+G19</f>
        <v>97339</v>
      </c>
      <c r="J19" s="1" t="n">
        <v>45457</v>
      </c>
      <c r="L19" s="39"/>
      <c r="N19" s="12"/>
      <c r="O19" s="12"/>
      <c r="P19" s="12" t="n">
        <f aca="false">P18+N19</f>
        <v>0</v>
      </c>
      <c r="Q19" s="12" t="n">
        <f aca="false">I19-P19</f>
        <v>97339</v>
      </c>
    </row>
    <row r="20" customFormat="false" ht="12.8" hidden="false" customHeight="false" outlineLevel="0" collapsed="false">
      <c r="A20" s="1" t="n">
        <v>45458</v>
      </c>
      <c r="C20" s="34"/>
      <c r="F20" s="12"/>
      <c r="G20" s="12" t="n">
        <f aca="false">SUM(E20:F20)</f>
        <v>0</v>
      </c>
      <c r="H20" s="12"/>
      <c r="I20" s="12" t="n">
        <f aca="false">I19+G20</f>
        <v>97339</v>
      </c>
      <c r="J20" s="1" t="n">
        <v>45458</v>
      </c>
      <c r="N20" s="12"/>
      <c r="O20" s="12"/>
      <c r="P20" s="12" t="n">
        <f aca="false">P19+N20</f>
        <v>0</v>
      </c>
      <c r="Q20" s="12" t="n">
        <f aca="false">I20-P20</f>
        <v>97339</v>
      </c>
    </row>
    <row r="21" customFormat="false" ht="12.8" hidden="false" customHeight="false" outlineLevel="0" collapsed="false">
      <c r="A21" s="1" t="n">
        <v>45459</v>
      </c>
      <c r="C21" s="34"/>
      <c r="F21" s="12"/>
      <c r="G21" s="12" t="n">
        <f aca="false">SUM(E21:F21)</f>
        <v>0</v>
      </c>
      <c r="H21" s="12"/>
      <c r="I21" s="12" t="n">
        <f aca="false">I20+G21</f>
        <v>97339</v>
      </c>
      <c r="J21" s="1" t="n">
        <v>45459</v>
      </c>
      <c r="P21" s="12" t="n">
        <f aca="false">P20+N21</f>
        <v>0</v>
      </c>
      <c r="Q21" s="12" t="n">
        <f aca="false">I21-P21</f>
        <v>97339</v>
      </c>
    </row>
    <row r="22" customFormat="false" ht="12.8" hidden="false" customHeight="false" outlineLevel="0" collapsed="false">
      <c r="A22" s="1" t="n">
        <v>45460</v>
      </c>
      <c r="F22" s="12"/>
      <c r="G22" s="12" t="n">
        <f aca="false">SUM(E22:F22)</f>
        <v>0</v>
      </c>
      <c r="H22" s="12"/>
      <c r="I22" s="12" t="n">
        <f aca="false">I21+G22</f>
        <v>97339</v>
      </c>
      <c r="J22" s="1" t="n">
        <v>45460</v>
      </c>
      <c r="K22" s="2" t="s">
        <v>30</v>
      </c>
      <c r="L22" s="2" t="s">
        <v>31</v>
      </c>
      <c r="M22" s="2" t="n">
        <v>11</v>
      </c>
      <c r="N22" s="12" t="n">
        <v>500</v>
      </c>
      <c r="O22" s="12"/>
      <c r="P22" s="12" t="n">
        <f aca="false">P21+N22</f>
        <v>500</v>
      </c>
      <c r="Q22" s="12" t="n">
        <f aca="false">I22-P22</f>
        <v>96839</v>
      </c>
    </row>
    <row r="23" customFormat="false" ht="12.8" hidden="false" customHeight="false" outlineLevel="0" collapsed="false">
      <c r="A23" s="1" t="n">
        <v>45461</v>
      </c>
      <c r="B23" s="5"/>
      <c r="C23" s="5"/>
      <c r="D23" s="5"/>
      <c r="E23" s="5"/>
      <c r="F23" s="6"/>
      <c r="G23" s="12" t="n">
        <f aca="false">SUM(E23:F23)</f>
        <v>0</v>
      </c>
      <c r="H23" s="12"/>
      <c r="I23" s="12" t="n">
        <f aca="false">I22+G23</f>
        <v>97339</v>
      </c>
      <c r="J23" s="1" t="n">
        <v>45461</v>
      </c>
      <c r="K23" s="5"/>
      <c r="L23" s="5"/>
      <c r="M23" s="5"/>
      <c r="N23" s="6"/>
      <c r="O23" s="6"/>
      <c r="P23" s="12" t="n">
        <f aca="false">P22+N23</f>
        <v>500</v>
      </c>
      <c r="Q23" s="12" t="n">
        <f aca="false">I23-P23</f>
        <v>96839</v>
      </c>
    </row>
    <row r="24" customFormat="false" ht="12.8" hidden="false" customHeight="false" outlineLevel="0" collapsed="false">
      <c r="A24" s="1" t="n">
        <v>45462</v>
      </c>
      <c r="B24" s="5"/>
      <c r="C24" s="5"/>
      <c r="D24" s="8"/>
      <c r="E24" s="9"/>
      <c r="F24" s="9"/>
      <c r="G24" s="12" t="n">
        <f aca="false">SUM(E24:F24)</f>
        <v>0</v>
      </c>
      <c r="H24" s="12"/>
      <c r="I24" s="12" t="n">
        <f aca="false">I23+G24</f>
        <v>97339</v>
      </c>
      <c r="J24" s="1" t="n">
        <v>45462</v>
      </c>
      <c r="K24" s="8"/>
      <c r="L24" s="9"/>
      <c r="M24" s="9"/>
      <c r="N24" s="9"/>
      <c r="O24" s="9"/>
      <c r="P24" s="12" t="n">
        <f aca="false">P23+N24</f>
        <v>500</v>
      </c>
      <c r="Q24" s="12" t="n">
        <f aca="false">I24-P24</f>
        <v>96839</v>
      </c>
    </row>
    <row r="25" customFormat="false" ht="12.8" hidden="false" customHeight="false" outlineLevel="0" collapsed="false">
      <c r="A25" s="1" t="n">
        <v>45463</v>
      </c>
      <c r="B25" s="5"/>
      <c r="C25" s="5"/>
      <c r="D25" s="5"/>
      <c r="E25" s="5"/>
      <c r="F25" s="6"/>
      <c r="G25" s="12" t="n">
        <f aca="false">SUM(E25:F25)</f>
        <v>0</v>
      </c>
      <c r="H25" s="12"/>
      <c r="I25" s="12" t="n">
        <f aca="false">I24+G25</f>
        <v>97339</v>
      </c>
      <c r="J25" s="1" t="n">
        <v>45463</v>
      </c>
      <c r="K25" s="5"/>
      <c r="L25" s="5"/>
      <c r="M25" s="5"/>
      <c r="N25" s="6"/>
      <c r="O25" s="6"/>
      <c r="P25" s="12" t="n">
        <f aca="false">P24+N25</f>
        <v>500</v>
      </c>
      <c r="Q25" s="12" t="n">
        <f aca="false">I25-P25</f>
        <v>96839</v>
      </c>
    </row>
    <row r="26" customFormat="false" ht="12.8" hidden="false" customHeight="false" outlineLevel="0" collapsed="false">
      <c r="A26" s="1" t="n">
        <v>45464</v>
      </c>
      <c r="B26" s="5"/>
      <c r="C26" s="5"/>
      <c r="D26" s="8"/>
      <c r="E26" s="8"/>
      <c r="F26" s="9"/>
      <c r="G26" s="12" t="n">
        <f aca="false">SUM(E26:F26)</f>
        <v>0</v>
      </c>
      <c r="H26" s="12"/>
      <c r="I26" s="12" t="n">
        <f aca="false">I25+G26</f>
        <v>97339</v>
      </c>
      <c r="J26" s="1" t="n">
        <v>45464</v>
      </c>
      <c r="K26" s="5"/>
      <c r="L26" s="5"/>
      <c r="M26" s="8"/>
      <c r="N26" s="9"/>
      <c r="O26" s="9"/>
      <c r="P26" s="12" t="n">
        <f aca="false">P25+N26</f>
        <v>500</v>
      </c>
      <c r="Q26" s="12" t="n">
        <f aca="false">I26-P26</f>
        <v>96839</v>
      </c>
    </row>
    <row r="27" customFormat="false" ht="12.8" hidden="false" customHeight="false" outlineLevel="0" collapsed="false">
      <c r="A27" s="1" t="n">
        <v>45465</v>
      </c>
      <c r="G27" s="12" t="n">
        <f aca="false">SUM(E27:F27)</f>
        <v>0</v>
      </c>
      <c r="H27" s="12"/>
      <c r="I27" s="12" t="n">
        <f aca="false">I26+G27</f>
        <v>97339</v>
      </c>
      <c r="J27" s="1" t="n">
        <v>45465</v>
      </c>
      <c r="K27" s="2" t="s">
        <v>22</v>
      </c>
      <c r="L27" s="2" t="s">
        <v>32</v>
      </c>
      <c r="M27" s="2" t="n">
        <v>9</v>
      </c>
      <c r="N27" s="12" t="n">
        <v>3000</v>
      </c>
      <c r="P27" s="12" t="n">
        <f aca="false">P26+N27</f>
        <v>3500</v>
      </c>
      <c r="Q27" s="12" t="n">
        <f aca="false">I27-P27</f>
        <v>93839</v>
      </c>
    </row>
    <row r="28" customFormat="false" ht="12.8" hidden="false" customHeight="false" outlineLevel="0" collapsed="false">
      <c r="A28" s="1" t="n">
        <v>45466</v>
      </c>
      <c r="F28" s="12"/>
      <c r="G28" s="12" t="n">
        <f aca="false">SUM(E28:F28)</f>
        <v>0</v>
      </c>
      <c r="H28" s="12"/>
      <c r="I28" s="12" t="n">
        <f aca="false">I27+G28</f>
        <v>97339</v>
      </c>
      <c r="J28" s="1" t="n">
        <v>45466</v>
      </c>
      <c r="N28" s="12"/>
      <c r="O28" s="12"/>
      <c r="P28" s="12" t="n">
        <f aca="false">P27+N28</f>
        <v>3500</v>
      </c>
      <c r="Q28" s="12" t="n">
        <f aca="false">I28-P28</f>
        <v>93839</v>
      </c>
    </row>
    <row r="29" customFormat="false" ht="12.8" hidden="false" customHeight="false" outlineLevel="0" collapsed="false">
      <c r="A29" s="1" t="n">
        <v>45467</v>
      </c>
      <c r="F29" s="12"/>
      <c r="G29" s="12" t="n">
        <f aca="false">SUM(E29:F29)</f>
        <v>0</v>
      </c>
      <c r="H29" s="12"/>
      <c r="I29" s="12" t="n">
        <f aca="false">I28+G29</f>
        <v>97339</v>
      </c>
      <c r="J29" s="1" t="n">
        <v>45467</v>
      </c>
      <c r="N29" s="12"/>
      <c r="O29" s="12"/>
      <c r="P29" s="12" t="n">
        <f aca="false">P28+N29</f>
        <v>3500</v>
      </c>
      <c r="Q29" s="12" t="n">
        <f aca="false">I29-P29</f>
        <v>93839</v>
      </c>
    </row>
    <row r="30" customFormat="false" ht="12.8" hidden="false" customHeight="false" outlineLevel="0" collapsed="false">
      <c r="A30" s="1" t="n">
        <v>45468</v>
      </c>
      <c r="C30" s="14"/>
      <c r="F30" s="12"/>
      <c r="G30" s="12" t="n">
        <f aca="false">SUM(E30:F30)</f>
        <v>0</v>
      </c>
      <c r="H30" s="12"/>
      <c r="I30" s="12" t="n">
        <f aca="false">I29+G30</f>
        <v>97339</v>
      </c>
      <c r="J30" s="1" t="n">
        <v>45468</v>
      </c>
      <c r="N30" s="12"/>
      <c r="O30" s="37"/>
      <c r="P30" s="12" t="n">
        <f aca="false">P29+N30</f>
        <v>3500</v>
      </c>
      <c r="Q30" s="12" t="n">
        <f aca="false">I30-P30</f>
        <v>93839</v>
      </c>
    </row>
    <row r="31" customFormat="false" ht="12.8" hidden="false" customHeight="false" outlineLevel="0" collapsed="false">
      <c r="A31" s="1" t="n">
        <v>45469</v>
      </c>
      <c r="C31" s="14"/>
      <c r="F31" s="12"/>
      <c r="G31" s="12" t="n">
        <f aca="false">SUM(E31:F31)</f>
        <v>0</v>
      </c>
      <c r="H31" s="12"/>
      <c r="I31" s="12" t="n">
        <f aca="false">I30+G31</f>
        <v>97339</v>
      </c>
      <c r="J31" s="1" t="n">
        <v>45469</v>
      </c>
      <c r="N31" s="12"/>
      <c r="O31" s="37"/>
      <c r="P31" s="12" t="n">
        <f aca="false">P30+N31</f>
        <v>3500</v>
      </c>
      <c r="Q31" s="12" t="n">
        <f aca="false">I31-P31</f>
        <v>93839</v>
      </c>
    </row>
    <row r="32" customFormat="false" ht="12.8" hidden="false" customHeight="false" outlineLevel="0" collapsed="false">
      <c r="A32" s="1" t="n">
        <v>45470</v>
      </c>
      <c r="F32" s="12"/>
      <c r="G32" s="12" t="n">
        <f aca="false">SUM(E32:F32)</f>
        <v>0</v>
      </c>
      <c r="H32" s="12"/>
      <c r="I32" s="12" t="n">
        <f aca="false">I31+G32</f>
        <v>97339</v>
      </c>
      <c r="J32" s="1" t="n">
        <v>45470</v>
      </c>
      <c r="N32" s="12"/>
      <c r="O32" s="12"/>
      <c r="P32" s="12" t="n">
        <f aca="false">P31+N32</f>
        <v>3500</v>
      </c>
      <c r="Q32" s="12" t="n">
        <f aca="false">I32-P32</f>
        <v>93839</v>
      </c>
    </row>
    <row r="33" customFormat="false" ht="24.85" hidden="false" customHeight="false" outlineLevel="0" collapsed="false">
      <c r="A33" s="1" t="n">
        <v>45471</v>
      </c>
      <c r="B33" s="2" t="s">
        <v>26</v>
      </c>
      <c r="C33" s="19" t="s">
        <v>41</v>
      </c>
      <c r="D33" s="2" t="n">
        <v>4</v>
      </c>
      <c r="F33" s="12" t="n">
        <v>10000</v>
      </c>
      <c r="G33" s="12" t="n">
        <f aca="false">SUM(E33:F33)</f>
        <v>10000</v>
      </c>
      <c r="H33" s="12"/>
      <c r="I33" s="12" t="n">
        <f aca="false">I32+G33</f>
        <v>107339</v>
      </c>
      <c r="J33" s="1" t="n">
        <v>45471</v>
      </c>
      <c r="N33" s="12"/>
      <c r="O33" s="12"/>
      <c r="P33" s="12" t="n">
        <f aca="false">P32+N33</f>
        <v>3500</v>
      </c>
      <c r="Q33" s="12" t="n">
        <f aca="false">I33-P33</f>
        <v>103839</v>
      </c>
    </row>
    <row r="34" customFormat="false" ht="12.8" hidden="false" customHeight="false" outlineLevel="0" collapsed="false">
      <c r="A34" s="1" t="n">
        <v>45472</v>
      </c>
      <c r="C34" s="14"/>
      <c r="F34" s="12"/>
      <c r="G34" s="12" t="n">
        <f aca="false">SUM(E34:F34)</f>
        <v>0</v>
      </c>
      <c r="H34" s="12"/>
      <c r="I34" s="12" t="n">
        <f aca="false">I33+G34</f>
        <v>107339</v>
      </c>
      <c r="J34" s="1" t="n">
        <v>45472</v>
      </c>
      <c r="L34" s="14"/>
      <c r="N34" s="12"/>
      <c r="O34" s="12"/>
      <c r="P34" s="12" t="n">
        <f aca="false">P33+N34</f>
        <v>3500</v>
      </c>
      <c r="Q34" s="12" t="n">
        <f aca="false">I34-P34</f>
        <v>103839</v>
      </c>
    </row>
    <row r="35" customFormat="false" ht="12.8" hidden="false" customHeight="false" outlineLevel="0" collapsed="false">
      <c r="A35" s="1" t="n">
        <v>45473</v>
      </c>
      <c r="F35" s="12"/>
      <c r="G35" s="12" t="n">
        <f aca="false">SUM(E35:F35)</f>
        <v>0</v>
      </c>
      <c r="H35" s="12"/>
      <c r="I35" s="12" t="n">
        <f aca="false">I34+G35</f>
        <v>107339</v>
      </c>
      <c r="J35" s="1" t="n">
        <v>45473</v>
      </c>
      <c r="K35" s="2" t="s">
        <v>19</v>
      </c>
      <c r="L35" s="2" t="s">
        <v>34</v>
      </c>
      <c r="N35" s="12" t="n">
        <f aca="false">Q34</f>
        <v>103839</v>
      </c>
      <c r="O35" s="12"/>
      <c r="P35" s="12" t="n">
        <f aca="false">P34+N35</f>
        <v>107339</v>
      </c>
      <c r="Q35" s="12" t="n">
        <f aca="false">I35-P35</f>
        <v>0</v>
      </c>
    </row>
    <row r="36" customFormat="false" ht="12.8" hidden="false" customHeight="false" outlineLevel="0" collapsed="false">
      <c r="F36" s="12"/>
      <c r="G36" s="12"/>
      <c r="H36" s="12"/>
      <c r="I36" s="12"/>
      <c r="N36" s="12"/>
      <c r="O36" s="12"/>
      <c r="P36" s="12"/>
      <c r="Q36" s="12"/>
    </row>
    <row r="37" customFormat="false" ht="12.8" hidden="false" customHeight="false" outlineLevel="0" collapsed="false">
      <c r="F37" s="12"/>
      <c r="G37" s="12"/>
      <c r="H37" s="12" t="n">
        <f aca="false">SUM(H6:H36)</f>
        <v>0</v>
      </c>
      <c r="I37" s="12"/>
      <c r="N37" s="12"/>
      <c r="O37" s="12" t="n">
        <f aca="false">SUM(O6:O36)</f>
        <v>6930</v>
      </c>
      <c r="P37" s="12"/>
      <c r="Q37" s="12"/>
    </row>
    <row r="38" customFormat="false" ht="12.8" hidden="false" customHeight="false" outlineLevel="0" collapsed="false">
      <c r="F38" s="12"/>
      <c r="G38" s="12"/>
      <c r="H38" s="12"/>
      <c r="I38" s="12"/>
      <c r="N38" s="12"/>
      <c r="O38" s="12"/>
      <c r="P38" s="12"/>
      <c r="Q38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N52" activeCellId="0" sqref="N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2" width="11.68"/>
    <col collapsed="false" customWidth="true" hidden="false" outlineLevel="0" max="7" min="7" style="2" width="12.61"/>
    <col collapsed="false" customWidth="true" hidden="false" outlineLevel="0" max="8" min="8" style="2" width="9.06"/>
    <col collapsed="false" customWidth="true" hidden="false" outlineLevel="0" max="9" min="9" style="2" width="11.68"/>
    <col collapsed="false" customWidth="true" hidden="false" outlineLevel="0" max="11" min="10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2" width="11.68"/>
    <col collapsed="false" customWidth="true" hidden="false" outlineLevel="0" max="15" min="15" style="2" width="9.06"/>
    <col collapsed="false" customWidth="true" hidden="false" outlineLevel="0" max="17" min="16" style="2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Jul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45474</v>
      </c>
      <c r="B6" s="2" t="s">
        <v>19</v>
      </c>
      <c r="C6" s="2" t="s">
        <v>20</v>
      </c>
      <c r="F6" s="12" t="n">
        <f aca="false">Jun!N35</f>
        <v>103839</v>
      </c>
      <c r="G6" s="12" t="n">
        <f aca="false">Jun!N35</f>
        <v>103839</v>
      </c>
      <c r="H6" s="12"/>
      <c r="I6" s="12" t="n">
        <f aca="false">I5+G6</f>
        <v>103839</v>
      </c>
      <c r="J6" s="1" t="n">
        <v>45474</v>
      </c>
      <c r="N6" s="12"/>
      <c r="O6" s="12"/>
      <c r="P6" s="12" t="n">
        <f aca="false">P5+N6</f>
        <v>0</v>
      </c>
      <c r="Q6" s="12" t="n">
        <f aca="false">I6-P6</f>
        <v>103839</v>
      </c>
    </row>
    <row r="7" customFormat="false" ht="12.8" hidden="false" customHeight="false" outlineLevel="0" collapsed="false">
      <c r="A7" s="1" t="n">
        <v>45475</v>
      </c>
      <c r="C7" s="34"/>
      <c r="F7" s="12"/>
      <c r="G7" s="12" t="n">
        <f aca="false">SUM(E7:F7)</f>
        <v>0</v>
      </c>
      <c r="H7" s="12"/>
      <c r="I7" s="12" t="n">
        <f aca="false">I6+G7</f>
        <v>103839</v>
      </c>
      <c r="J7" s="1" t="n">
        <v>45475</v>
      </c>
      <c r="P7" s="12" t="n">
        <f aca="false">P6+N7</f>
        <v>0</v>
      </c>
      <c r="Q7" s="12" t="n">
        <f aca="false">I7-P7</f>
        <v>103839</v>
      </c>
    </row>
    <row r="8" customFormat="false" ht="12.8" hidden="false" customHeight="false" outlineLevel="0" collapsed="false">
      <c r="A8" s="1" t="n">
        <v>45476</v>
      </c>
      <c r="F8" s="12"/>
      <c r="G8" s="12" t="n">
        <f aca="false">SUM(E8:F8)</f>
        <v>0</v>
      </c>
      <c r="H8" s="12"/>
      <c r="I8" s="12" t="n">
        <f aca="false">I7+G8</f>
        <v>103839</v>
      </c>
      <c r="J8" s="1" t="n">
        <v>45476</v>
      </c>
      <c r="P8" s="12" t="n">
        <f aca="false">P7+N8</f>
        <v>0</v>
      </c>
      <c r="Q8" s="12" t="n">
        <f aca="false">I8-P8</f>
        <v>103839</v>
      </c>
    </row>
    <row r="9" customFormat="false" ht="12.8" hidden="false" customHeight="false" outlineLevel="0" collapsed="false">
      <c r="A9" s="1" t="n">
        <v>45477</v>
      </c>
      <c r="F9" s="12"/>
      <c r="G9" s="12" t="n">
        <f aca="false">SUM(E9:F9)</f>
        <v>0</v>
      </c>
      <c r="H9" s="12"/>
      <c r="I9" s="12" t="n">
        <f aca="false">I8+G9</f>
        <v>103839</v>
      </c>
      <c r="J9" s="1" t="n">
        <v>45477</v>
      </c>
      <c r="K9" s="2" t="s">
        <v>22</v>
      </c>
      <c r="L9" s="2" t="s">
        <v>23</v>
      </c>
      <c r="M9" s="2" t="n">
        <v>9</v>
      </c>
      <c r="N9" s="12" t="n">
        <v>3000</v>
      </c>
      <c r="O9" s="12"/>
      <c r="P9" s="12" t="n">
        <f aca="false">P8+N9</f>
        <v>3000</v>
      </c>
      <c r="Q9" s="12" t="n">
        <f aca="false">I9-P9</f>
        <v>100839</v>
      </c>
    </row>
    <row r="10" customFormat="false" ht="24.85" hidden="false" customHeight="false" outlineLevel="0" collapsed="false">
      <c r="A10" s="1" t="n">
        <v>45478</v>
      </c>
      <c r="B10" s="2" t="s">
        <v>28</v>
      </c>
      <c r="C10" s="16" t="s">
        <v>42</v>
      </c>
      <c r="F10" s="12"/>
      <c r="G10" s="12" t="n">
        <f aca="false">SUM(E10:F10)</f>
        <v>0</v>
      </c>
      <c r="H10" s="12" t="n">
        <f aca="false">2340*1.1</f>
        <v>2574</v>
      </c>
      <c r="I10" s="12" t="n">
        <f aca="false">I9+G10</f>
        <v>103839</v>
      </c>
      <c r="J10" s="1" t="n">
        <v>45478</v>
      </c>
      <c r="K10" s="2" t="s">
        <v>26</v>
      </c>
      <c r="L10" s="16" t="s">
        <v>42</v>
      </c>
      <c r="N10" s="12"/>
      <c r="O10" s="37" t="n">
        <v>2340</v>
      </c>
      <c r="P10" s="12" t="n">
        <f aca="false">P9+N10</f>
        <v>3000</v>
      </c>
      <c r="Q10" s="12" t="n">
        <f aca="false">I10-P10</f>
        <v>100839</v>
      </c>
    </row>
    <row r="11" customFormat="false" ht="12.8" hidden="false" customHeight="false" outlineLevel="0" collapsed="false">
      <c r="A11" s="1" t="n">
        <v>45478</v>
      </c>
      <c r="C11" s="14"/>
      <c r="F11" s="12"/>
      <c r="G11" s="12" t="n">
        <f aca="false">SUM(E11:F11)</f>
        <v>0</v>
      </c>
      <c r="H11" s="12"/>
      <c r="I11" s="12" t="n">
        <f aca="false">I10+G11</f>
        <v>103839</v>
      </c>
      <c r="J11" s="1" t="n">
        <v>45478</v>
      </c>
      <c r="K11" s="2" t="s">
        <v>38</v>
      </c>
      <c r="N11" s="12"/>
      <c r="O11" s="37" t="n">
        <v>234</v>
      </c>
      <c r="P11" s="12" t="n">
        <f aca="false">P10+N11</f>
        <v>3000</v>
      </c>
      <c r="Q11" s="12" t="n">
        <f aca="false">I11-P11</f>
        <v>100839</v>
      </c>
    </row>
    <row r="12" customFormat="false" ht="24.85" hidden="false" customHeight="false" outlineLevel="0" collapsed="false">
      <c r="A12" s="1" t="n">
        <v>45478</v>
      </c>
      <c r="B12" s="2" t="s">
        <v>28</v>
      </c>
      <c r="C12" s="16" t="s">
        <v>43</v>
      </c>
      <c r="F12" s="12"/>
      <c r="G12" s="12" t="n">
        <f aca="false">SUM(E12:F12)</f>
        <v>0</v>
      </c>
      <c r="H12" s="12" t="n">
        <f aca="false">2430*1.1</f>
        <v>2673</v>
      </c>
      <c r="I12" s="12" t="n">
        <f aca="false">I11+G12</f>
        <v>103839</v>
      </c>
      <c r="J12" s="1" t="n">
        <v>45478</v>
      </c>
      <c r="K12" s="2" t="s">
        <v>26</v>
      </c>
      <c r="L12" s="16" t="s">
        <v>43</v>
      </c>
      <c r="N12" s="12"/>
      <c r="O12" s="12" t="n">
        <v>2430</v>
      </c>
      <c r="P12" s="12" t="n">
        <f aca="false">P11+N12</f>
        <v>3000</v>
      </c>
      <c r="Q12" s="12" t="n">
        <f aca="false">I12-P12</f>
        <v>100839</v>
      </c>
    </row>
    <row r="13" customFormat="false" ht="12.8" hidden="false" customHeight="false" outlineLevel="0" collapsed="false">
      <c r="A13" s="1" t="n">
        <v>45478</v>
      </c>
      <c r="F13" s="12"/>
      <c r="G13" s="12" t="n">
        <f aca="false">SUM(E13:F13)</f>
        <v>0</v>
      </c>
      <c r="H13" s="12"/>
      <c r="I13" s="12" t="n">
        <f aca="false">I12+G13</f>
        <v>103839</v>
      </c>
      <c r="J13" s="1" t="n">
        <v>45478</v>
      </c>
      <c r="K13" s="2" t="s">
        <v>38</v>
      </c>
      <c r="N13" s="12"/>
      <c r="O13" s="12" t="n">
        <v>243</v>
      </c>
      <c r="P13" s="12" t="n">
        <f aca="false">P12+N13</f>
        <v>3000</v>
      </c>
      <c r="Q13" s="12" t="n">
        <f aca="false">I13-P13</f>
        <v>100839</v>
      </c>
    </row>
    <row r="14" customFormat="false" ht="12.8" hidden="false" customHeight="false" outlineLevel="0" collapsed="false">
      <c r="A14" s="1" t="n">
        <v>45482</v>
      </c>
      <c r="C14" s="14"/>
      <c r="F14" s="12"/>
      <c r="G14" s="12" t="n">
        <f aca="false">SUM(E14:F14)</f>
        <v>0</v>
      </c>
      <c r="H14" s="12"/>
      <c r="I14" s="12" t="n">
        <f aca="false">I13+G14</f>
        <v>103839</v>
      </c>
      <c r="J14" s="1" t="n">
        <v>45482</v>
      </c>
      <c r="L14" s="14"/>
      <c r="N14" s="12"/>
      <c r="O14" s="12"/>
      <c r="P14" s="12" t="n">
        <f aca="false">P13+N14</f>
        <v>3000</v>
      </c>
      <c r="Q14" s="12" t="n">
        <f aca="false">I14-P14</f>
        <v>100839</v>
      </c>
    </row>
    <row r="15" customFormat="false" ht="12.8" hidden="false" customHeight="false" outlineLevel="0" collapsed="false">
      <c r="A15" s="1" t="n">
        <v>45483</v>
      </c>
      <c r="F15" s="12"/>
      <c r="G15" s="12" t="n">
        <f aca="false">SUM(E15:F15)</f>
        <v>0</v>
      </c>
      <c r="H15" s="12"/>
      <c r="I15" s="12" t="n">
        <f aca="false">I14+G15</f>
        <v>103839</v>
      </c>
      <c r="J15" s="1" t="n">
        <v>45483</v>
      </c>
      <c r="O15" s="12"/>
      <c r="P15" s="12" t="n">
        <f aca="false">P14+N15</f>
        <v>3000</v>
      </c>
      <c r="Q15" s="12" t="n">
        <f aca="false">I15-P15</f>
        <v>100839</v>
      </c>
    </row>
    <row r="16" customFormat="false" ht="12.8" hidden="false" customHeight="false" outlineLevel="0" collapsed="false">
      <c r="A16" s="1" t="n">
        <v>45484</v>
      </c>
      <c r="F16" s="12"/>
      <c r="G16" s="12" t="n">
        <f aca="false">SUM(E16:F16)</f>
        <v>0</v>
      </c>
      <c r="H16" s="12"/>
      <c r="I16" s="12" t="n">
        <f aca="false">I15+G16</f>
        <v>103839</v>
      </c>
      <c r="J16" s="1" t="n">
        <v>45484</v>
      </c>
      <c r="K16" s="2" t="s">
        <v>30</v>
      </c>
      <c r="L16" s="2" t="s">
        <v>31</v>
      </c>
      <c r="M16" s="2" t="n">
        <v>11</v>
      </c>
      <c r="N16" s="12" t="n">
        <v>500</v>
      </c>
      <c r="O16" s="12"/>
      <c r="P16" s="12" t="n">
        <f aca="false">P15+N16</f>
        <v>3500</v>
      </c>
      <c r="Q16" s="12" t="n">
        <f aca="false">I16-P16</f>
        <v>100339</v>
      </c>
    </row>
    <row r="17" customFormat="false" ht="12.8" hidden="false" customHeight="false" outlineLevel="0" collapsed="false">
      <c r="A17" s="1" t="n">
        <v>45485</v>
      </c>
      <c r="F17" s="12"/>
      <c r="G17" s="12" t="n">
        <f aca="false">SUM(E17:F17)</f>
        <v>0</v>
      </c>
      <c r="H17" s="12"/>
      <c r="I17" s="12" t="n">
        <f aca="false">I16+G17</f>
        <v>103839</v>
      </c>
      <c r="J17" s="1" t="n">
        <v>45485</v>
      </c>
      <c r="N17" s="12"/>
      <c r="O17" s="12"/>
      <c r="P17" s="12" t="n">
        <f aca="false">P16+N17</f>
        <v>3500</v>
      </c>
      <c r="Q17" s="12" t="n">
        <f aca="false">I17-P17</f>
        <v>100339</v>
      </c>
    </row>
    <row r="18" customFormat="false" ht="12.8" hidden="false" customHeight="false" outlineLevel="0" collapsed="false">
      <c r="A18" s="1" t="n">
        <v>45486</v>
      </c>
      <c r="F18" s="12"/>
      <c r="G18" s="12" t="n">
        <f aca="false">SUM(E18:F18)</f>
        <v>0</v>
      </c>
      <c r="H18" s="12"/>
      <c r="I18" s="12" t="n">
        <f aca="false">I17+G18</f>
        <v>103839</v>
      </c>
      <c r="J18" s="1" t="n">
        <v>45486</v>
      </c>
      <c r="N18" s="12"/>
      <c r="O18" s="12"/>
      <c r="P18" s="12" t="n">
        <f aca="false">P17+N18</f>
        <v>3500</v>
      </c>
      <c r="Q18" s="12" t="n">
        <f aca="false">I18-P18</f>
        <v>100339</v>
      </c>
    </row>
    <row r="19" customFormat="false" ht="12.8" hidden="false" customHeight="false" outlineLevel="0" collapsed="false">
      <c r="A19" s="1" t="n">
        <v>45487</v>
      </c>
      <c r="F19" s="12"/>
      <c r="G19" s="12" t="n">
        <f aca="false">SUM(E19:F19)</f>
        <v>0</v>
      </c>
      <c r="H19" s="12"/>
      <c r="I19" s="12" t="n">
        <f aca="false">I18+G19</f>
        <v>103839</v>
      </c>
      <c r="J19" s="1" t="n">
        <v>45487</v>
      </c>
      <c r="N19" s="12"/>
      <c r="O19" s="12"/>
      <c r="P19" s="12" t="n">
        <f aca="false">P18+N19</f>
        <v>3500</v>
      </c>
      <c r="Q19" s="12" t="n">
        <f aca="false">I19-P19</f>
        <v>100339</v>
      </c>
    </row>
    <row r="20" customFormat="false" ht="12.8" hidden="false" customHeight="false" outlineLevel="0" collapsed="false">
      <c r="A20" s="1" t="n">
        <v>45488</v>
      </c>
      <c r="F20" s="12"/>
      <c r="G20" s="12" t="n">
        <f aca="false">SUM(E20:F20)</f>
        <v>0</v>
      </c>
      <c r="H20" s="12"/>
      <c r="I20" s="12" t="n">
        <f aca="false">I19+G20</f>
        <v>103839</v>
      </c>
      <c r="J20" s="1" t="n">
        <v>45488</v>
      </c>
      <c r="O20" s="12"/>
      <c r="P20" s="12" t="n">
        <f aca="false">P19+N20</f>
        <v>3500</v>
      </c>
      <c r="Q20" s="12" t="n">
        <f aca="false">I20-P20</f>
        <v>100339</v>
      </c>
    </row>
    <row r="21" customFormat="false" ht="12.8" hidden="false" customHeight="false" outlineLevel="0" collapsed="false">
      <c r="A21" s="1" t="n">
        <v>45489</v>
      </c>
      <c r="F21" s="12"/>
      <c r="G21" s="12" t="n">
        <f aca="false">SUM(E21:F21)</f>
        <v>0</v>
      </c>
      <c r="H21" s="12"/>
      <c r="I21" s="12" t="n">
        <f aca="false">I20+G21</f>
        <v>103839</v>
      </c>
      <c r="J21" s="1" t="n">
        <v>45489</v>
      </c>
      <c r="N21" s="12"/>
      <c r="O21" s="12"/>
      <c r="P21" s="12" t="n">
        <f aca="false">P20+N21</f>
        <v>3500</v>
      </c>
      <c r="Q21" s="12" t="n">
        <f aca="false">I21-P21</f>
        <v>100339</v>
      </c>
    </row>
    <row r="22" customFormat="false" ht="12.8" hidden="false" customHeight="false" outlineLevel="0" collapsed="false">
      <c r="A22" s="1" t="n">
        <v>45490</v>
      </c>
      <c r="F22" s="12"/>
      <c r="G22" s="12" t="n">
        <f aca="false">SUM(E22:F22)</f>
        <v>0</v>
      </c>
      <c r="H22" s="12"/>
      <c r="I22" s="12" t="n">
        <f aca="false">I21+G22</f>
        <v>103839</v>
      </c>
      <c r="J22" s="1" t="n">
        <v>45490</v>
      </c>
      <c r="N22" s="12"/>
      <c r="O22" s="12"/>
      <c r="P22" s="12" t="n">
        <f aca="false">P21+N22</f>
        <v>3500</v>
      </c>
      <c r="Q22" s="12" t="n">
        <f aca="false">I22-P22</f>
        <v>100339</v>
      </c>
    </row>
    <row r="23" customFormat="false" ht="12.8" hidden="false" customHeight="false" outlineLevel="0" collapsed="false">
      <c r="A23" s="1" t="n">
        <v>45491</v>
      </c>
      <c r="F23" s="12"/>
      <c r="G23" s="12" t="n">
        <f aca="false">SUM(E23:F23)</f>
        <v>0</v>
      </c>
      <c r="H23" s="12"/>
      <c r="I23" s="12" t="n">
        <f aca="false">I22+G23</f>
        <v>103839</v>
      </c>
      <c r="J23" s="1" t="n">
        <v>45491</v>
      </c>
      <c r="N23" s="12"/>
      <c r="O23" s="12"/>
      <c r="P23" s="12" t="n">
        <f aca="false">P22+N23</f>
        <v>3500</v>
      </c>
      <c r="Q23" s="12" t="n">
        <f aca="false">I23-P23</f>
        <v>100339</v>
      </c>
    </row>
    <row r="24" customFormat="false" ht="13.8" hidden="false" customHeight="false" outlineLevel="0" collapsed="false">
      <c r="A24" s="1" t="n">
        <v>45492</v>
      </c>
      <c r="C24" s="19"/>
      <c r="F24" s="12"/>
      <c r="G24" s="12" t="n">
        <f aca="false">SUM(E24:F24)</f>
        <v>0</v>
      </c>
      <c r="H24" s="12"/>
      <c r="I24" s="12" t="n">
        <f aca="false">I23+G24</f>
        <v>103839</v>
      </c>
      <c r="J24" s="1" t="n">
        <v>45492</v>
      </c>
      <c r="L24" s="19"/>
      <c r="N24" s="12"/>
      <c r="O24" s="40"/>
      <c r="P24" s="12" t="n">
        <f aca="false">P23+N24</f>
        <v>3500</v>
      </c>
      <c r="Q24" s="12" t="n">
        <f aca="false">I24-P24</f>
        <v>100339</v>
      </c>
    </row>
    <row r="25" customFormat="false" ht="12.8" hidden="false" customHeight="false" outlineLevel="0" collapsed="false">
      <c r="A25" s="1" t="n">
        <v>45493</v>
      </c>
      <c r="F25" s="12"/>
      <c r="G25" s="12" t="n">
        <f aca="false">SUM(E25:F25)</f>
        <v>0</v>
      </c>
      <c r="H25" s="12"/>
      <c r="I25" s="12" t="n">
        <f aca="false">I24+G25</f>
        <v>103839</v>
      </c>
      <c r="J25" s="1" t="n">
        <v>45493</v>
      </c>
      <c r="N25" s="12"/>
      <c r="O25" s="12"/>
      <c r="P25" s="12" t="n">
        <f aca="false">P24+N25</f>
        <v>3500</v>
      </c>
      <c r="Q25" s="12" t="n">
        <f aca="false">I25-P25</f>
        <v>100339</v>
      </c>
    </row>
    <row r="26" customFormat="false" ht="12.8" hidden="false" customHeight="false" outlineLevel="0" collapsed="false">
      <c r="A26" s="1" t="n">
        <v>45494</v>
      </c>
      <c r="F26" s="12"/>
      <c r="G26" s="12" t="n">
        <f aca="false">SUM(E26:F26)</f>
        <v>0</v>
      </c>
      <c r="H26" s="12"/>
      <c r="I26" s="12" t="n">
        <f aca="false">I25+G26</f>
        <v>103839</v>
      </c>
      <c r="J26" s="1" t="n">
        <v>45494</v>
      </c>
      <c r="N26" s="12"/>
      <c r="O26" s="12"/>
      <c r="P26" s="12" t="n">
        <f aca="false">P25+N26</f>
        <v>3500</v>
      </c>
      <c r="Q26" s="12" t="n">
        <f aca="false">I26-P26</f>
        <v>100339</v>
      </c>
    </row>
    <row r="27" customFormat="false" ht="12.8" hidden="false" customHeight="false" outlineLevel="0" collapsed="false">
      <c r="A27" s="1" t="n">
        <v>45495</v>
      </c>
      <c r="C27" s="19"/>
      <c r="F27" s="12"/>
      <c r="G27" s="12" t="n">
        <f aca="false">SUM(E27:F27)</f>
        <v>0</v>
      </c>
      <c r="H27" s="12"/>
      <c r="I27" s="12" t="n">
        <f aca="false">I26+G27</f>
        <v>103839</v>
      </c>
      <c r="J27" s="1" t="n">
        <v>45495</v>
      </c>
      <c r="N27" s="12"/>
      <c r="O27" s="12"/>
      <c r="P27" s="12" t="n">
        <f aca="false">P26+N27</f>
        <v>3500</v>
      </c>
      <c r="Q27" s="12" t="n">
        <f aca="false">I27-P27</f>
        <v>100339</v>
      </c>
    </row>
    <row r="28" customFormat="false" ht="12.8" hidden="false" customHeight="false" outlineLevel="0" collapsed="false">
      <c r="A28" s="1" t="n">
        <v>45496</v>
      </c>
      <c r="F28" s="12"/>
      <c r="G28" s="12" t="n">
        <f aca="false">SUM(E28:F28)</f>
        <v>0</v>
      </c>
      <c r="H28" s="12"/>
      <c r="I28" s="12" t="n">
        <f aca="false">I27+G28</f>
        <v>103839</v>
      </c>
      <c r="J28" s="1" t="n">
        <v>45496</v>
      </c>
      <c r="K28" s="2" t="s">
        <v>22</v>
      </c>
      <c r="L28" s="2" t="s">
        <v>32</v>
      </c>
      <c r="M28" s="2" t="n">
        <v>9</v>
      </c>
      <c r="N28" s="12" t="n">
        <v>3000</v>
      </c>
      <c r="O28" s="12"/>
      <c r="P28" s="12" t="n">
        <f aca="false">P27+N28</f>
        <v>6500</v>
      </c>
      <c r="Q28" s="12" t="n">
        <f aca="false">I28-P28</f>
        <v>97339</v>
      </c>
    </row>
    <row r="29" customFormat="false" ht="24.85" hidden="false" customHeight="false" outlineLevel="0" collapsed="false">
      <c r="A29" s="1" t="n">
        <v>45497</v>
      </c>
      <c r="B29" s="2" t="s">
        <v>28</v>
      </c>
      <c r="C29" s="16" t="s">
        <v>44</v>
      </c>
      <c r="F29" s="12"/>
      <c r="G29" s="12" t="n">
        <f aca="false">SUM(E29:F29)</f>
        <v>0</v>
      </c>
      <c r="H29" s="12" t="n">
        <f aca="false">2430*1.1</f>
        <v>2673</v>
      </c>
      <c r="I29" s="12" t="n">
        <f aca="false">I28+G29</f>
        <v>103839</v>
      </c>
      <c r="J29" s="1" t="n">
        <v>45497</v>
      </c>
      <c r="K29" s="2" t="s">
        <v>26</v>
      </c>
      <c r="L29" s="16" t="s">
        <v>44</v>
      </c>
      <c r="M29" s="2" t="n">
        <v>4</v>
      </c>
      <c r="N29" s="12"/>
      <c r="O29" s="12" t="n">
        <v>2430</v>
      </c>
      <c r="P29" s="12" t="n">
        <f aca="false">P28+N29</f>
        <v>6500</v>
      </c>
      <c r="Q29" s="12" t="n">
        <f aca="false">I29-P29</f>
        <v>97339</v>
      </c>
    </row>
    <row r="30" customFormat="false" ht="12.8" hidden="false" customHeight="false" outlineLevel="0" collapsed="false">
      <c r="A30" s="1" t="n">
        <v>45497</v>
      </c>
      <c r="C30" s="14"/>
      <c r="F30" s="12"/>
      <c r="G30" s="12" t="n">
        <f aca="false">SUM(E30:F30)</f>
        <v>0</v>
      </c>
      <c r="H30" s="12"/>
      <c r="I30" s="12" t="n">
        <f aca="false">I29+G30</f>
        <v>103839</v>
      </c>
      <c r="J30" s="1" t="n">
        <v>45497</v>
      </c>
      <c r="K30" s="2" t="s">
        <v>38</v>
      </c>
      <c r="M30" s="2" t="n">
        <v>10</v>
      </c>
      <c r="N30" s="12"/>
      <c r="O30" s="12" t="n">
        <v>243</v>
      </c>
      <c r="P30" s="12" t="n">
        <f aca="false">P29+N30</f>
        <v>6500</v>
      </c>
      <c r="Q30" s="12" t="n">
        <f aca="false">I30-P30</f>
        <v>97339</v>
      </c>
    </row>
    <row r="31" customFormat="false" ht="24.85" hidden="false" customHeight="false" outlineLevel="0" collapsed="false">
      <c r="A31" s="1" t="n">
        <v>45497</v>
      </c>
      <c r="B31" s="2" t="s">
        <v>28</v>
      </c>
      <c r="C31" s="16" t="s">
        <v>45</v>
      </c>
      <c r="F31" s="12"/>
      <c r="G31" s="12" t="n">
        <f aca="false">SUM(E31:F31)</f>
        <v>0</v>
      </c>
      <c r="H31" s="12" t="n">
        <f aca="false">3780*1.1</f>
        <v>4158</v>
      </c>
      <c r="I31" s="12" t="n">
        <f aca="false">I30+G31</f>
        <v>103839</v>
      </c>
      <c r="J31" s="1" t="n">
        <v>45497</v>
      </c>
      <c r="K31" s="2" t="s">
        <v>26</v>
      </c>
      <c r="L31" s="16" t="s">
        <v>45</v>
      </c>
      <c r="M31" s="2" t="n">
        <v>4</v>
      </c>
      <c r="N31" s="12"/>
      <c r="O31" s="12" t="n">
        <v>3780</v>
      </c>
      <c r="P31" s="12" t="n">
        <f aca="false">P30+N31</f>
        <v>6500</v>
      </c>
      <c r="Q31" s="12" t="n">
        <f aca="false">I31-P31</f>
        <v>97339</v>
      </c>
    </row>
    <row r="32" customFormat="false" ht="12.8" hidden="false" customHeight="false" outlineLevel="0" collapsed="false">
      <c r="A32" s="1" t="n">
        <v>45497</v>
      </c>
      <c r="G32" s="12" t="n">
        <f aca="false">SUM(E32:F32)</f>
        <v>0</v>
      </c>
      <c r="H32" s="12"/>
      <c r="I32" s="12" t="n">
        <f aca="false">I31+G32</f>
        <v>103839</v>
      </c>
      <c r="J32" s="1" t="n">
        <v>45497</v>
      </c>
      <c r="K32" s="2" t="s">
        <v>38</v>
      </c>
      <c r="M32" s="2" t="n">
        <v>10</v>
      </c>
      <c r="N32" s="12"/>
      <c r="O32" s="12" t="n">
        <v>378</v>
      </c>
      <c r="P32" s="12" t="n">
        <f aca="false">P31+N32</f>
        <v>6500</v>
      </c>
      <c r="Q32" s="12" t="n">
        <f aca="false">I32-P32</f>
        <v>97339</v>
      </c>
    </row>
    <row r="33" customFormat="false" ht="12.8" hidden="false" customHeight="false" outlineLevel="0" collapsed="false">
      <c r="A33" s="1" t="n">
        <v>45501</v>
      </c>
      <c r="G33" s="12" t="n">
        <f aca="false">SUM(E33:F33)</f>
        <v>0</v>
      </c>
      <c r="H33" s="12"/>
      <c r="I33" s="12" t="n">
        <f aca="false">I32+G33</f>
        <v>103839</v>
      </c>
      <c r="J33" s="1" t="n">
        <v>45501</v>
      </c>
      <c r="N33" s="12"/>
      <c r="O33" s="12"/>
      <c r="P33" s="12" t="n">
        <f aca="false">P32+N33</f>
        <v>6500</v>
      </c>
      <c r="Q33" s="12" t="n">
        <f aca="false">I33-P33</f>
        <v>97339</v>
      </c>
    </row>
    <row r="34" customFormat="false" ht="12.8" hidden="false" customHeight="false" outlineLevel="0" collapsed="false">
      <c r="A34" s="1" t="n">
        <v>45502</v>
      </c>
      <c r="G34" s="12" t="n">
        <f aca="false">SUM(E34:F34)</f>
        <v>0</v>
      </c>
      <c r="H34" s="12"/>
      <c r="I34" s="12" t="n">
        <f aca="false">I33+G34</f>
        <v>103839</v>
      </c>
      <c r="J34" s="1" t="n">
        <v>45502</v>
      </c>
      <c r="K34" s="2" t="s">
        <v>30</v>
      </c>
      <c r="L34" s="2" t="s">
        <v>31</v>
      </c>
      <c r="M34" s="2" t="n">
        <v>11</v>
      </c>
      <c r="N34" s="12" t="n">
        <v>500</v>
      </c>
      <c r="O34" s="12"/>
      <c r="P34" s="12" t="n">
        <f aca="false">P33+N34</f>
        <v>7000</v>
      </c>
      <c r="Q34" s="12" t="n">
        <f aca="false">I34-P34</f>
        <v>96839</v>
      </c>
    </row>
    <row r="35" customFormat="false" ht="24.85" hidden="false" customHeight="false" outlineLevel="0" collapsed="false">
      <c r="A35" s="1" t="n">
        <v>45503</v>
      </c>
      <c r="B35" s="2" t="s">
        <v>26</v>
      </c>
      <c r="C35" s="19" t="s">
        <v>46</v>
      </c>
      <c r="D35" s="2" t="n">
        <v>4</v>
      </c>
      <c r="F35" s="2" t="n">
        <v>10000</v>
      </c>
      <c r="G35" s="12" t="n">
        <f aca="false">SUM(E35:F35)</f>
        <v>10000</v>
      </c>
      <c r="I35" s="12" t="n">
        <f aca="false">I34+G35</f>
        <v>113839</v>
      </c>
      <c r="J35" s="1" t="n">
        <v>45503</v>
      </c>
      <c r="N35" s="12"/>
      <c r="O35" s="12"/>
      <c r="P35" s="12" t="n">
        <f aca="false">P34+N35</f>
        <v>7000</v>
      </c>
      <c r="Q35" s="12" t="n">
        <f aca="false">I35-P35</f>
        <v>106839</v>
      </c>
    </row>
    <row r="36" customFormat="false" ht="12.8" hidden="false" customHeight="false" outlineLevel="0" collapsed="false">
      <c r="A36" s="1" t="n">
        <v>45504</v>
      </c>
      <c r="G36" s="12" t="n">
        <f aca="false">SUM(E36:F36)</f>
        <v>0</v>
      </c>
      <c r="I36" s="12" t="n">
        <f aca="false">I35+G36</f>
        <v>113839</v>
      </c>
      <c r="J36" s="1" t="n">
        <v>45504</v>
      </c>
      <c r="N36" s="12"/>
      <c r="O36" s="12"/>
      <c r="P36" s="12" t="n">
        <f aca="false">P35+N36</f>
        <v>7000</v>
      </c>
      <c r="Q36" s="12" t="n">
        <f aca="false">I36-P36</f>
        <v>106839</v>
      </c>
    </row>
    <row r="37" customFormat="false" ht="12.8" hidden="false" customHeight="false" outlineLevel="0" collapsed="false">
      <c r="A37" s="1" t="n">
        <v>45504</v>
      </c>
      <c r="G37" s="12" t="n">
        <f aca="false">SUM(E37:F37)</f>
        <v>0</v>
      </c>
      <c r="I37" s="12" t="n">
        <f aca="false">I36+G37</f>
        <v>113839</v>
      </c>
      <c r="J37" s="1" t="n">
        <v>45504</v>
      </c>
      <c r="K37" s="2" t="s">
        <v>19</v>
      </c>
      <c r="L37" s="2" t="s">
        <v>34</v>
      </c>
      <c r="N37" s="12" t="n">
        <f aca="false">Q36</f>
        <v>106839</v>
      </c>
      <c r="P37" s="12" t="n">
        <f aca="false">P36+N37</f>
        <v>113839</v>
      </c>
      <c r="Q37" s="12" t="n">
        <f aca="false">I37-P37</f>
        <v>0</v>
      </c>
    </row>
    <row r="38" customFormat="false" ht="12.8" hidden="false" customHeight="false" outlineLevel="0" collapsed="false">
      <c r="J38" s="1"/>
    </row>
    <row r="39" customFormat="false" ht="12.8" hidden="false" customHeight="false" outlineLevel="0" collapsed="false">
      <c r="H39" s="2" t="n">
        <f aca="false">SUM(H6:H37)</f>
        <v>12078</v>
      </c>
      <c r="O39" s="2" t="n">
        <f aca="false">SUM(O6:O37)</f>
        <v>12078</v>
      </c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B27" activeCellId="0" sqref="B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10.13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10.59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Aug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45505</v>
      </c>
      <c r="B6" s="2" t="s">
        <v>19</v>
      </c>
      <c r="C6" s="2" t="s">
        <v>20</v>
      </c>
      <c r="F6" s="12" t="n">
        <f aca="false">Jul!N37</f>
        <v>106839</v>
      </c>
      <c r="G6" s="12" t="n">
        <f aca="false">Jul!N37</f>
        <v>106839</v>
      </c>
      <c r="H6" s="12"/>
      <c r="I6" s="12" t="n">
        <f aca="false">I5+G6</f>
        <v>106839</v>
      </c>
      <c r="J6" s="1" t="n">
        <v>45505</v>
      </c>
      <c r="N6" s="12"/>
      <c r="O6" s="12"/>
      <c r="P6" s="12" t="n">
        <f aca="false">P5+N6</f>
        <v>0</v>
      </c>
      <c r="Q6" s="12" t="n">
        <f aca="false">I6-P6</f>
        <v>106839</v>
      </c>
    </row>
    <row r="7" customFormat="false" ht="12.8" hidden="false" customHeight="false" outlineLevel="0" collapsed="false">
      <c r="A7" s="1" t="n">
        <v>45506</v>
      </c>
      <c r="C7" s="31"/>
      <c r="F7" s="12"/>
      <c r="G7" s="12" t="n">
        <f aca="false">SUM(E7:F7)</f>
        <v>0</v>
      </c>
      <c r="H7" s="12"/>
      <c r="I7" s="12" t="n">
        <f aca="false">I6+G7</f>
        <v>106839</v>
      </c>
      <c r="J7" s="1" t="n">
        <v>45506</v>
      </c>
      <c r="K7" s="2" t="s">
        <v>22</v>
      </c>
      <c r="L7" s="2" t="s">
        <v>23</v>
      </c>
      <c r="M7" s="2" t="n">
        <v>9</v>
      </c>
      <c r="N7" s="12" t="n">
        <v>3000</v>
      </c>
      <c r="O7" s="12"/>
      <c r="P7" s="12" t="n">
        <f aca="false">P6+N7</f>
        <v>3000</v>
      </c>
      <c r="Q7" s="12" t="n">
        <f aca="false">I7-P7</f>
        <v>103839</v>
      </c>
    </row>
    <row r="8" customFormat="false" ht="12.8" hidden="false" customHeight="false" outlineLevel="0" collapsed="false">
      <c r="A8" s="1" t="n">
        <v>45507</v>
      </c>
      <c r="F8" s="12"/>
      <c r="G8" s="12" t="n">
        <f aca="false">SUM(E8:F8)</f>
        <v>0</v>
      </c>
      <c r="H8" s="12"/>
      <c r="I8" s="12" t="n">
        <f aca="false">I7+G8</f>
        <v>106839</v>
      </c>
      <c r="J8" s="1" t="n">
        <v>45507</v>
      </c>
      <c r="N8" s="12"/>
      <c r="O8" s="12"/>
      <c r="P8" s="12" t="n">
        <f aca="false">P7+N8</f>
        <v>3000</v>
      </c>
      <c r="Q8" s="12" t="n">
        <f aca="false">I8-P8</f>
        <v>103839</v>
      </c>
    </row>
    <row r="9" customFormat="false" ht="12.8" hidden="false" customHeight="false" outlineLevel="0" collapsed="false">
      <c r="A9" s="1" t="n">
        <v>45508</v>
      </c>
      <c r="C9" s="31"/>
      <c r="F9" s="12"/>
      <c r="G9" s="12" t="n">
        <f aca="false">SUM(E9:F9)</f>
        <v>0</v>
      </c>
      <c r="H9" s="12"/>
      <c r="I9" s="12" t="n">
        <f aca="false">I8+G9</f>
        <v>106839</v>
      </c>
      <c r="J9" s="1" t="n">
        <v>45508</v>
      </c>
      <c r="L9" s="31"/>
      <c r="N9" s="12"/>
      <c r="O9" s="12"/>
      <c r="P9" s="12" t="n">
        <f aca="false">P8+N9</f>
        <v>3000</v>
      </c>
      <c r="Q9" s="12" t="n">
        <f aca="false">I9-P9</f>
        <v>103839</v>
      </c>
    </row>
    <row r="10" customFormat="false" ht="12.8" hidden="false" customHeight="false" outlineLevel="0" collapsed="false">
      <c r="A10" s="1" t="n">
        <v>45509</v>
      </c>
      <c r="C10" s="31"/>
      <c r="F10" s="12"/>
      <c r="G10" s="12" t="n">
        <f aca="false">SUM(E10:F10)</f>
        <v>0</v>
      </c>
      <c r="H10" s="12"/>
      <c r="I10" s="12" t="n">
        <f aca="false">I9+G10</f>
        <v>106839</v>
      </c>
      <c r="J10" s="1" t="n">
        <v>45509</v>
      </c>
      <c r="L10" s="31"/>
      <c r="N10" s="12"/>
      <c r="O10" s="12"/>
      <c r="P10" s="12" t="n">
        <f aca="false">P9+N10</f>
        <v>3000</v>
      </c>
      <c r="Q10" s="12" t="n">
        <f aca="false">I10-P10</f>
        <v>103839</v>
      </c>
    </row>
    <row r="11" customFormat="false" ht="12.8" hidden="false" customHeight="false" outlineLevel="0" collapsed="false">
      <c r="A11" s="1" t="n">
        <v>45510</v>
      </c>
      <c r="F11" s="12"/>
      <c r="G11" s="12" t="n">
        <f aca="false">SUM(E11:F11)</f>
        <v>0</v>
      </c>
      <c r="H11" s="12"/>
      <c r="I11" s="12" t="n">
        <f aca="false">I10+G11</f>
        <v>106839</v>
      </c>
      <c r="J11" s="1" t="n">
        <v>45510</v>
      </c>
      <c r="N11" s="12"/>
      <c r="O11" s="12"/>
      <c r="P11" s="12" t="n">
        <f aca="false">P10+N11</f>
        <v>3000</v>
      </c>
      <c r="Q11" s="12" t="n">
        <f aca="false">I11-P11</f>
        <v>103839</v>
      </c>
    </row>
    <row r="12" customFormat="false" ht="13.8" hidden="false" customHeight="false" outlineLevel="0" collapsed="false">
      <c r="A12" s="1" t="n">
        <v>45511</v>
      </c>
      <c r="C12" s="21"/>
      <c r="D12" s="20"/>
      <c r="F12" s="12"/>
      <c r="G12" s="12" t="n">
        <f aca="false">SUM(E12:F12)</f>
        <v>0</v>
      </c>
      <c r="H12" s="12"/>
      <c r="I12" s="12" t="n">
        <f aca="false">I11+G12</f>
        <v>106839</v>
      </c>
      <c r="J12" s="1" t="n">
        <v>45511</v>
      </c>
      <c r="L12" s="21"/>
      <c r="N12" s="12"/>
      <c r="O12" s="41"/>
      <c r="P12" s="12" t="n">
        <f aca="false">P11+N12</f>
        <v>3000</v>
      </c>
      <c r="Q12" s="12" t="n">
        <f aca="false">I12-P12</f>
        <v>103839</v>
      </c>
    </row>
    <row r="13" customFormat="false" ht="13.8" hidden="false" customHeight="false" outlineLevel="0" collapsed="false">
      <c r="A13" s="1" t="n">
        <v>45512</v>
      </c>
      <c r="C13" s="21"/>
      <c r="D13" s="20"/>
      <c r="F13" s="12"/>
      <c r="G13" s="12" t="n">
        <f aca="false">SUM(E13:F13)</f>
        <v>0</v>
      </c>
      <c r="H13" s="12"/>
      <c r="I13" s="12" t="n">
        <f aca="false">I12+G13</f>
        <v>106839</v>
      </c>
      <c r="J13" s="1" t="n">
        <v>45512</v>
      </c>
      <c r="N13" s="12"/>
      <c r="O13" s="41"/>
      <c r="P13" s="12" t="n">
        <f aca="false">P12+N13</f>
        <v>3000</v>
      </c>
      <c r="Q13" s="12" t="n">
        <f aca="false">I13-P13</f>
        <v>103839</v>
      </c>
    </row>
    <row r="14" customFormat="false" ht="13.8" hidden="false" customHeight="false" outlineLevel="0" collapsed="false">
      <c r="A14" s="1" t="n">
        <v>45513</v>
      </c>
      <c r="C14" s="21"/>
      <c r="D14" s="20"/>
      <c r="F14" s="12"/>
      <c r="G14" s="12" t="n">
        <f aca="false">SUM(E14:F14)</f>
        <v>0</v>
      </c>
      <c r="H14" s="12"/>
      <c r="I14" s="12" t="n">
        <f aca="false">I13+G14</f>
        <v>106839</v>
      </c>
      <c r="J14" s="1" t="n">
        <v>45513</v>
      </c>
      <c r="L14" s="21"/>
      <c r="O14" s="41"/>
      <c r="P14" s="12" t="n">
        <f aca="false">P13+N14</f>
        <v>3000</v>
      </c>
      <c r="Q14" s="12" t="n">
        <f aca="false">I14-P14</f>
        <v>103839</v>
      </c>
    </row>
    <row r="15" customFormat="false" ht="13.8" hidden="false" customHeight="false" outlineLevel="0" collapsed="false">
      <c r="A15" s="1" t="n">
        <v>45514</v>
      </c>
      <c r="C15" s="21"/>
      <c r="D15" s="20"/>
      <c r="F15" s="12"/>
      <c r="G15" s="12" t="n">
        <f aca="false">SUM(E15:F15)</f>
        <v>0</v>
      </c>
      <c r="H15" s="12"/>
      <c r="I15" s="12" t="n">
        <f aca="false">I14+G15</f>
        <v>106839</v>
      </c>
      <c r="J15" s="1" t="n">
        <v>45514</v>
      </c>
      <c r="O15" s="12"/>
      <c r="P15" s="12" t="n">
        <f aca="false">P14+N15</f>
        <v>3000</v>
      </c>
      <c r="Q15" s="12" t="n">
        <f aca="false">I15-P15</f>
        <v>103839</v>
      </c>
    </row>
    <row r="16" customFormat="false" ht="13.8" hidden="false" customHeight="false" outlineLevel="0" collapsed="false">
      <c r="A16" s="1" t="n">
        <v>45515</v>
      </c>
      <c r="B16" s="17"/>
      <c r="C16" s="21"/>
      <c r="D16" s="20"/>
      <c r="F16" s="12"/>
      <c r="G16" s="12" t="n">
        <f aca="false">SUM(E16:F16)</f>
        <v>0</v>
      </c>
      <c r="H16" s="12"/>
      <c r="I16" s="12" t="n">
        <f aca="false">I15+G16</f>
        <v>106839</v>
      </c>
      <c r="J16" s="1" t="n">
        <v>45515</v>
      </c>
      <c r="N16" s="12"/>
      <c r="O16" s="12"/>
      <c r="P16" s="12" t="n">
        <f aca="false">P15+N16</f>
        <v>3000</v>
      </c>
      <c r="Q16" s="12" t="n">
        <f aca="false">I16-P16</f>
        <v>103839</v>
      </c>
    </row>
    <row r="17" customFormat="false" ht="12.8" hidden="false" customHeight="false" outlineLevel="0" collapsed="false">
      <c r="A17" s="1" t="n">
        <v>45516</v>
      </c>
      <c r="F17" s="12"/>
      <c r="G17" s="12" t="n">
        <f aca="false">SUM(E17:F17)</f>
        <v>0</v>
      </c>
      <c r="H17" s="12"/>
      <c r="I17" s="12" t="n">
        <f aca="false">I16+G17</f>
        <v>106839</v>
      </c>
      <c r="J17" s="1" t="n">
        <v>45516</v>
      </c>
      <c r="N17" s="12"/>
      <c r="O17" s="12"/>
      <c r="P17" s="12" t="n">
        <f aca="false">P16+N17</f>
        <v>3000</v>
      </c>
      <c r="Q17" s="12" t="n">
        <f aca="false">I17-P17</f>
        <v>103839</v>
      </c>
    </row>
    <row r="18" customFormat="false" ht="12.8" hidden="false" customHeight="false" outlineLevel="0" collapsed="false">
      <c r="A18" s="1" t="n">
        <v>45517</v>
      </c>
      <c r="F18" s="12"/>
      <c r="G18" s="12" t="n">
        <f aca="false">SUM(E18:F18)</f>
        <v>0</v>
      </c>
      <c r="H18" s="12"/>
      <c r="I18" s="12" t="n">
        <f aca="false">I17+G18</f>
        <v>106839</v>
      </c>
      <c r="J18" s="1" t="n">
        <v>45517</v>
      </c>
      <c r="N18" s="12"/>
      <c r="O18" s="12"/>
      <c r="P18" s="12" t="n">
        <f aca="false">P17+N18</f>
        <v>3000</v>
      </c>
      <c r="Q18" s="12" t="n">
        <f aca="false">I18-P18</f>
        <v>103839</v>
      </c>
    </row>
    <row r="19" customFormat="false" ht="12.8" hidden="false" customHeight="false" outlineLevel="0" collapsed="false">
      <c r="A19" s="1" t="n">
        <v>45518</v>
      </c>
      <c r="F19" s="12"/>
      <c r="G19" s="12" t="n">
        <f aca="false">SUM(E19:F19)</f>
        <v>0</v>
      </c>
      <c r="H19" s="12"/>
      <c r="I19" s="12" t="n">
        <f aca="false">I18+G19</f>
        <v>106839</v>
      </c>
      <c r="J19" s="1" t="n">
        <v>45518</v>
      </c>
      <c r="N19" s="12"/>
      <c r="O19" s="12"/>
      <c r="P19" s="12" t="n">
        <f aca="false">P18+N19</f>
        <v>3000</v>
      </c>
      <c r="Q19" s="12" t="n">
        <f aca="false">I19-P19</f>
        <v>103839</v>
      </c>
    </row>
    <row r="20" customFormat="false" ht="12.8" hidden="false" customHeight="false" outlineLevel="0" collapsed="false">
      <c r="A20" s="1" t="n">
        <v>45519</v>
      </c>
      <c r="F20" s="12"/>
      <c r="G20" s="12" t="n">
        <f aca="false">SUM(E20:F20)</f>
        <v>0</v>
      </c>
      <c r="H20" s="12"/>
      <c r="I20" s="12" t="n">
        <f aca="false">I19+G20</f>
        <v>106839</v>
      </c>
      <c r="J20" s="1" t="n">
        <v>45519</v>
      </c>
      <c r="N20" s="12"/>
      <c r="O20" s="12"/>
      <c r="P20" s="12" t="n">
        <f aca="false">P19+N20</f>
        <v>3000</v>
      </c>
      <c r="Q20" s="12" t="n">
        <f aca="false">I20-P20</f>
        <v>103839</v>
      </c>
    </row>
    <row r="21" customFormat="false" ht="12.8" hidden="false" customHeight="false" outlineLevel="0" collapsed="false">
      <c r="A21" s="1" t="n">
        <v>45520</v>
      </c>
      <c r="C21" s="19"/>
      <c r="F21" s="12"/>
      <c r="G21" s="12" t="n">
        <f aca="false">SUM(E21:F21)</f>
        <v>0</v>
      </c>
      <c r="H21" s="12"/>
      <c r="I21" s="12" t="n">
        <f aca="false">I20+G21</f>
        <v>106839</v>
      </c>
      <c r="J21" s="1" t="n">
        <v>45520</v>
      </c>
      <c r="L21" s="19"/>
      <c r="O21" s="12"/>
      <c r="P21" s="12" t="n">
        <f aca="false">P20+N21</f>
        <v>3000</v>
      </c>
      <c r="Q21" s="12" t="n">
        <f aca="false">I21-P21</f>
        <v>103839</v>
      </c>
    </row>
    <row r="22" customFormat="false" ht="12.8" hidden="false" customHeight="false" outlineLevel="0" collapsed="false">
      <c r="A22" s="1" t="n">
        <v>45521</v>
      </c>
      <c r="F22" s="12"/>
      <c r="G22" s="12" t="n">
        <f aca="false">SUM(E22:F22)</f>
        <v>0</v>
      </c>
      <c r="H22" s="12"/>
      <c r="I22" s="12" t="n">
        <f aca="false">I21+G22</f>
        <v>106839</v>
      </c>
      <c r="J22" s="1" t="n">
        <v>45521</v>
      </c>
      <c r="N22" s="12"/>
      <c r="O22" s="12"/>
      <c r="P22" s="12" t="n">
        <f aca="false">P21+N22</f>
        <v>3000</v>
      </c>
      <c r="Q22" s="12" t="n">
        <f aca="false">I22-P22</f>
        <v>103839</v>
      </c>
    </row>
    <row r="23" customFormat="false" ht="12.8" hidden="false" customHeight="false" outlineLevel="0" collapsed="false">
      <c r="A23" s="1" t="n">
        <v>45522</v>
      </c>
      <c r="F23" s="12"/>
      <c r="G23" s="12" t="n">
        <f aca="false">SUM(E23:F23)</f>
        <v>0</v>
      </c>
      <c r="H23" s="12"/>
      <c r="I23" s="12" t="n">
        <f aca="false">I22+G23</f>
        <v>106839</v>
      </c>
      <c r="J23" s="1" t="n">
        <v>45522</v>
      </c>
      <c r="O23" s="12"/>
      <c r="P23" s="12" t="n">
        <f aca="false">P22+N23</f>
        <v>3000</v>
      </c>
      <c r="Q23" s="12" t="n">
        <f aca="false">I23-P23</f>
        <v>103839</v>
      </c>
    </row>
    <row r="24" customFormat="false" ht="12.8" hidden="false" customHeight="false" outlineLevel="0" collapsed="false">
      <c r="A24" s="1" t="n">
        <v>45523</v>
      </c>
      <c r="B24" s="5"/>
      <c r="C24" s="5"/>
      <c r="D24" s="5"/>
      <c r="E24" s="5"/>
      <c r="F24" s="6"/>
      <c r="G24" s="12" t="n">
        <f aca="false">SUM(E24:F24)</f>
        <v>0</v>
      </c>
      <c r="H24" s="12"/>
      <c r="I24" s="12" t="n">
        <f aca="false">I23+G24</f>
        <v>106839</v>
      </c>
      <c r="J24" s="1" t="n">
        <v>45523</v>
      </c>
      <c r="K24" s="5"/>
      <c r="L24" s="5"/>
      <c r="M24" s="5"/>
      <c r="N24" s="6"/>
      <c r="O24" s="6"/>
      <c r="P24" s="12" t="n">
        <f aca="false">P23+N24</f>
        <v>3000</v>
      </c>
      <c r="Q24" s="12" t="n">
        <f aca="false">I24-P24</f>
        <v>103839</v>
      </c>
    </row>
    <row r="25" customFormat="false" ht="12.8" hidden="false" customHeight="false" outlineLevel="0" collapsed="false">
      <c r="A25" s="1" t="n">
        <v>45524</v>
      </c>
      <c r="B25" s="5"/>
      <c r="C25" s="5"/>
      <c r="D25" s="8"/>
      <c r="E25" s="9"/>
      <c r="F25" s="9"/>
      <c r="G25" s="12" t="n">
        <f aca="false">SUM(E25:F25)</f>
        <v>0</v>
      </c>
      <c r="H25" s="12"/>
      <c r="I25" s="12" t="n">
        <f aca="false">I24+G25</f>
        <v>106839</v>
      </c>
      <c r="J25" s="1" t="n">
        <v>45524</v>
      </c>
      <c r="K25" s="8"/>
      <c r="L25" s="9"/>
      <c r="M25" s="9"/>
      <c r="N25" s="9"/>
      <c r="O25" s="9"/>
      <c r="P25" s="12" t="n">
        <f aca="false">P24+N25</f>
        <v>3000</v>
      </c>
      <c r="Q25" s="12" t="n">
        <f aca="false">I25-P25</f>
        <v>103839</v>
      </c>
    </row>
    <row r="26" customFormat="false" ht="12.8" hidden="false" customHeight="false" outlineLevel="0" collapsed="false">
      <c r="A26" s="1" t="n">
        <v>45525</v>
      </c>
      <c r="C26" s="34"/>
      <c r="D26" s="5"/>
      <c r="E26" s="5"/>
      <c r="F26" s="6"/>
      <c r="G26" s="12" t="n">
        <f aca="false">SUM(E26:F26)</f>
        <v>0</v>
      </c>
      <c r="H26" s="12"/>
      <c r="I26" s="12" t="n">
        <f aca="false">I25+G26</f>
        <v>106839</v>
      </c>
      <c r="J26" s="1" t="n">
        <v>45525</v>
      </c>
      <c r="L26" s="34"/>
      <c r="M26" s="5"/>
      <c r="N26" s="6"/>
      <c r="O26" s="42"/>
      <c r="P26" s="12" t="n">
        <f aca="false">P25+N26</f>
        <v>3000</v>
      </c>
      <c r="Q26" s="12" t="n">
        <f aca="false">I26-P26</f>
        <v>103839</v>
      </c>
    </row>
    <row r="27" customFormat="false" ht="24.85" hidden="false" customHeight="false" outlineLevel="0" collapsed="false">
      <c r="A27" s="1" t="n">
        <v>45526</v>
      </c>
      <c r="B27" s="2" t="s">
        <v>28</v>
      </c>
      <c r="C27" s="16" t="s">
        <v>47</v>
      </c>
      <c r="D27" s="43" t="n">
        <v>8</v>
      </c>
      <c r="E27" s="5"/>
      <c r="F27" s="6"/>
      <c r="G27" s="12" t="n">
        <f aca="false">SUM(E27:F27)</f>
        <v>0</v>
      </c>
      <c r="H27" s="12" t="n">
        <f aca="false">18180*1.1</f>
        <v>19998</v>
      </c>
      <c r="I27" s="12" t="n">
        <f aca="false">I26+G27</f>
        <v>106839</v>
      </c>
      <c r="J27" s="1" t="n">
        <v>45526</v>
      </c>
      <c r="K27" s="2" t="s">
        <v>26</v>
      </c>
      <c r="L27" s="16" t="s">
        <v>47</v>
      </c>
      <c r="M27" s="43" t="n">
        <v>4</v>
      </c>
      <c r="N27" s="6"/>
      <c r="O27" s="42" t="n">
        <v>18180</v>
      </c>
      <c r="P27" s="12" t="n">
        <f aca="false">P26+N27</f>
        <v>3000</v>
      </c>
      <c r="Q27" s="12" t="n">
        <f aca="false">I27-P27</f>
        <v>103839</v>
      </c>
    </row>
    <row r="28" customFormat="false" ht="12.8" hidden="false" customHeight="false" outlineLevel="0" collapsed="false">
      <c r="A28" s="1" t="n">
        <v>45526</v>
      </c>
      <c r="B28" s="5"/>
      <c r="C28" s="5"/>
      <c r="D28" s="8"/>
      <c r="E28" s="8"/>
      <c r="F28" s="9"/>
      <c r="G28" s="12" t="n">
        <f aca="false">SUM(E28:F28)</f>
        <v>0</v>
      </c>
      <c r="H28" s="12"/>
      <c r="I28" s="12" t="n">
        <f aca="false">I27+G28</f>
        <v>106839</v>
      </c>
      <c r="J28" s="1" t="n">
        <v>45526</v>
      </c>
      <c r="K28" s="2" t="s">
        <v>38</v>
      </c>
      <c r="L28" s="5"/>
      <c r="M28" s="44" t="n">
        <v>10</v>
      </c>
      <c r="N28" s="9"/>
      <c r="O28" s="45" t="n">
        <v>1818</v>
      </c>
      <c r="P28" s="12" t="n">
        <f aca="false">P27+N28</f>
        <v>3000</v>
      </c>
      <c r="Q28" s="12" t="n">
        <f aca="false">I28-P28</f>
        <v>103839</v>
      </c>
    </row>
    <row r="29" customFormat="false" ht="24.85" hidden="false" customHeight="false" outlineLevel="0" collapsed="false">
      <c r="A29" s="1" t="n">
        <v>45527</v>
      </c>
      <c r="B29" s="2" t="s">
        <v>28</v>
      </c>
      <c r="C29" s="16" t="s">
        <v>48</v>
      </c>
      <c r="D29" s="2" t="n">
        <v>8</v>
      </c>
      <c r="G29" s="12" t="n">
        <f aca="false">SUM(E29:F29)</f>
        <v>0</v>
      </c>
      <c r="H29" s="12" t="n">
        <f aca="false">11160*1.1</f>
        <v>12276</v>
      </c>
      <c r="I29" s="12" t="n">
        <f aca="false">I28+G29</f>
        <v>106839</v>
      </c>
      <c r="J29" s="1" t="n">
        <v>45527</v>
      </c>
      <c r="K29" s="2" t="s">
        <v>26</v>
      </c>
      <c r="L29" s="16" t="s">
        <v>48</v>
      </c>
      <c r="M29" s="2" t="n">
        <v>4</v>
      </c>
      <c r="N29" s="12"/>
      <c r="O29" s="3" t="n">
        <v>11160</v>
      </c>
      <c r="P29" s="12" t="n">
        <f aca="false">P28+N29</f>
        <v>3000</v>
      </c>
      <c r="Q29" s="12" t="n">
        <f aca="false">I29-P29</f>
        <v>103839</v>
      </c>
    </row>
    <row r="30" customFormat="false" ht="12.8" hidden="false" customHeight="false" outlineLevel="0" collapsed="false">
      <c r="A30" s="1" t="n">
        <v>45527</v>
      </c>
      <c r="F30" s="12"/>
      <c r="G30" s="12" t="n">
        <f aca="false">SUM(E30:F30)</f>
        <v>0</v>
      </c>
      <c r="H30" s="12"/>
      <c r="I30" s="12" t="n">
        <f aca="false">I29+G30</f>
        <v>106839</v>
      </c>
      <c r="J30" s="1" t="n">
        <v>45527</v>
      </c>
      <c r="K30" s="2" t="s">
        <v>38</v>
      </c>
      <c r="M30" s="2" t="n">
        <v>10</v>
      </c>
      <c r="N30" s="12"/>
      <c r="O30" s="12" t="n">
        <v>1116</v>
      </c>
      <c r="P30" s="12" t="n">
        <f aca="false">P29+N30</f>
        <v>3000</v>
      </c>
      <c r="Q30" s="12" t="n">
        <f aca="false">I30-P30</f>
        <v>103839</v>
      </c>
    </row>
    <row r="31" customFormat="false" ht="12.8" hidden="false" customHeight="false" outlineLevel="0" collapsed="false">
      <c r="A31" s="1" t="n">
        <v>45530</v>
      </c>
      <c r="F31" s="12"/>
      <c r="G31" s="12" t="n">
        <f aca="false">SUM(E31:F31)</f>
        <v>0</v>
      </c>
      <c r="H31" s="12"/>
      <c r="I31" s="12" t="n">
        <f aca="false">I30+G31</f>
        <v>106839</v>
      </c>
      <c r="J31" s="1" t="n">
        <v>45530</v>
      </c>
      <c r="N31" s="12"/>
      <c r="O31" s="12"/>
      <c r="P31" s="12" t="n">
        <f aca="false">P30+N31</f>
        <v>3000</v>
      </c>
      <c r="Q31" s="12" t="n">
        <f aca="false">I31-P31</f>
        <v>103839</v>
      </c>
    </row>
    <row r="32" customFormat="false" ht="12.8" hidden="false" customHeight="false" outlineLevel="0" collapsed="false">
      <c r="A32" s="1" t="n">
        <v>45531</v>
      </c>
      <c r="C32" s="15"/>
      <c r="F32" s="12"/>
      <c r="G32" s="12" t="n">
        <f aca="false">SUM(E32:F32)</f>
        <v>0</v>
      </c>
      <c r="H32" s="12"/>
      <c r="I32" s="12" t="n">
        <f aca="false">I31+G32</f>
        <v>106839</v>
      </c>
      <c r="J32" s="1" t="n">
        <v>45531</v>
      </c>
      <c r="K32" s="2" t="s">
        <v>30</v>
      </c>
      <c r="L32" s="2" t="s">
        <v>31</v>
      </c>
      <c r="M32" s="2" t="n">
        <v>11</v>
      </c>
      <c r="N32" s="12" t="n">
        <v>500</v>
      </c>
      <c r="O32" s="12"/>
      <c r="P32" s="12" t="n">
        <f aca="false">P31+N32</f>
        <v>3500</v>
      </c>
      <c r="Q32" s="12" t="n">
        <f aca="false">I32-P32</f>
        <v>103339</v>
      </c>
    </row>
    <row r="33" customFormat="false" ht="12.8" hidden="false" customHeight="false" outlineLevel="0" collapsed="false">
      <c r="A33" s="1" t="n">
        <v>45532</v>
      </c>
      <c r="F33" s="12"/>
      <c r="G33" s="12" t="n">
        <f aca="false">SUM(E33:F33)</f>
        <v>0</v>
      </c>
      <c r="H33" s="12"/>
      <c r="I33" s="12" t="n">
        <f aca="false">I32+G33</f>
        <v>106839</v>
      </c>
      <c r="J33" s="1" t="n">
        <v>45532</v>
      </c>
      <c r="N33" s="12"/>
      <c r="O33" s="12"/>
      <c r="P33" s="12" t="n">
        <f aca="false">P32+N33</f>
        <v>3500</v>
      </c>
      <c r="Q33" s="12" t="n">
        <f aca="false">I33-P33</f>
        <v>103339</v>
      </c>
    </row>
    <row r="34" customFormat="false" ht="24.85" hidden="false" customHeight="false" outlineLevel="0" collapsed="false">
      <c r="A34" s="1" t="n">
        <v>45533</v>
      </c>
      <c r="B34" s="2" t="s">
        <v>26</v>
      </c>
      <c r="C34" s="19" t="s">
        <v>49</v>
      </c>
      <c r="D34" s="2" t="n">
        <v>4</v>
      </c>
      <c r="F34" s="12" t="n">
        <v>10000</v>
      </c>
      <c r="G34" s="12" t="n">
        <f aca="false">SUM(E34:F34)</f>
        <v>10000</v>
      </c>
      <c r="H34" s="12"/>
      <c r="I34" s="12" t="n">
        <f aca="false">I33+G34</f>
        <v>116839</v>
      </c>
      <c r="J34" s="1" t="n">
        <v>45533</v>
      </c>
      <c r="N34" s="12"/>
      <c r="O34" s="12"/>
      <c r="P34" s="12" t="n">
        <f aca="false">P33+N34</f>
        <v>3500</v>
      </c>
      <c r="Q34" s="12" t="n">
        <f aca="false">I34-P34</f>
        <v>113339</v>
      </c>
    </row>
    <row r="35" customFormat="false" ht="12.8" hidden="false" customHeight="false" outlineLevel="0" collapsed="false">
      <c r="A35" s="1" t="n">
        <v>45534</v>
      </c>
      <c r="F35" s="12"/>
      <c r="G35" s="12" t="n">
        <f aca="false">SUM(E35:F35)</f>
        <v>0</v>
      </c>
      <c r="H35" s="12"/>
      <c r="I35" s="12" t="n">
        <f aca="false">I34+G35</f>
        <v>116839</v>
      </c>
      <c r="J35" s="1" t="n">
        <v>45534</v>
      </c>
      <c r="N35" s="12"/>
      <c r="O35" s="12"/>
      <c r="P35" s="12" t="n">
        <f aca="false">P34+N35</f>
        <v>3500</v>
      </c>
      <c r="Q35" s="12" t="n">
        <f aca="false">I35-P35</f>
        <v>113339</v>
      </c>
    </row>
    <row r="36" customFormat="false" ht="12.8" hidden="false" customHeight="false" outlineLevel="0" collapsed="false">
      <c r="A36" s="1" t="n">
        <v>45535</v>
      </c>
      <c r="F36" s="12"/>
      <c r="G36" s="12" t="n">
        <f aca="false">SUM(E36:F36)</f>
        <v>0</v>
      </c>
      <c r="H36" s="12"/>
      <c r="I36" s="12" t="n">
        <f aca="false">I35+G36</f>
        <v>116839</v>
      </c>
      <c r="J36" s="1" t="n">
        <v>45535</v>
      </c>
      <c r="N36" s="12"/>
      <c r="O36" s="12"/>
      <c r="P36" s="12" t="n">
        <f aca="false">P35+N36</f>
        <v>3500</v>
      </c>
      <c r="Q36" s="12" t="n">
        <f aca="false">I36-P36</f>
        <v>113339</v>
      </c>
    </row>
    <row r="37" customFormat="false" ht="12.8" hidden="false" customHeight="false" outlineLevel="0" collapsed="false">
      <c r="A37" s="1" t="n">
        <v>45535</v>
      </c>
      <c r="F37" s="12"/>
      <c r="G37" s="12" t="n">
        <f aca="false">SUM(E37:F37)</f>
        <v>0</v>
      </c>
      <c r="H37" s="12"/>
      <c r="I37" s="12" t="n">
        <f aca="false">I36+G37</f>
        <v>116839</v>
      </c>
      <c r="J37" s="1" t="n">
        <v>45535</v>
      </c>
      <c r="K37" s="2" t="s">
        <v>19</v>
      </c>
      <c r="L37" s="2" t="s">
        <v>34</v>
      </c>
      <c r="N37" s="12" t="n">
        <f aca="false">Q36</f>
        <v>113339</v>
      </c>
      <c r="O37" s="12"/>
      <c r="P37" s="12" t="n">
        <f aca="false">P36+N37</f>
        <v>116839</v>
      </c>
      <c r="Q37" s="12" t="n">
        <f aca="false">I37-P37</f>
        <v>0</v>
      </c>
    </row>
    <row r="38" customFormat="false" ht="12.8" hidden="false" customHeight="false" outlineLevel="0" collapsed="false">
      <c r="F38" s="12"/>
      <c r="G38" s="12"/>
      <c r="H38" s="12"/>
      <c r="I38" s="12"/>
      <c r="N38" s="12"/>
      <c r="O38" s="12"/>
      <c r="P38" s="12"/>
      <c r="Q38" s="12"/>
    </row>
    <row r="39" customFormat="false" ht="12.8" hidden="false" customHeight="false" outlineLevel="0" collapsed="false">
      <c r="F39" s="12"/>
      <c r="G39" s="12"/>
      <c r="H39" s="12" t="n">
        <f aca="false">SUM(H6:H37)</f>
        <v>32274</v>
      </c>
      <c r="I39" s="12"/>
      <c r="N39" s="12"/>
      <c r="O39" s="12" t="n">
        <f aca="false">SUM(O6:O37)</f>
        <v>32274</v>
      </c>
      <c r="P39" s="12"/>
      <c r="Q39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false" showOutlineSymbols="true" defaultGridColor="true" view="normal" topLeftCell="A2" colorId="64" zoomScale="90" zoomScaleNormal="9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5.8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5.8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Sep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45536</v>
      </c>
      <c r="B6" s="2" t="s">
        <v>19</v>
      </c>
      <c r="C6" s="2" t="s">
        <v>20</v>
      </c>
      <c r="F6" s="12" t="n">
        <f aca="false">Aug!N37</f>
        <v>113339</v>
      </c>
      <c r="G6" s="12" t="n">
        <f aca="false">Aug!N37</f>
        <v>113339</v>
      </c>
      <c r="H6" s="12"/>
      <c r="I6" s="12" t="n">
        <f aca="false">I5+G6</f>
        <v>113339</v>
      </c>
      <c r="J6" s="1" t="n">
        <v>45536</v>
      </c>
      <c r="N6" s="12"/>
      <c r="O6" s="12"/>
      <c r="P6" s="12" t="n">
        <f aca="false">P5+N6</f>
        <v>0</v>
      </c>
      <c r="Q6" s="12" t="n">
        <f aca="false">I6-P6</f>
        <v>113339</v>
      </c>
    </row>
    <row r="7" customFormat="false" ht="12.8" hidden="false" customHeight="false" outlineLevel="0" collapsed="false">
      <c r="A7" s="1" t="n">
        <v>45537</v>
      </c>
      <c r="F7" s="12"/>
      <c r="G7" s="12" t="n">
        <f aca="false">SUM(E7:F7)</f>
        <v>0</v>
      </c>
      <c r="H7" s="12"/>
      <c r="I7" s="12" t="n">
        <f aca="false">I6+G7</f>
        <v>113339</v>
      </c>
      <c r="J7" s="1" t="n">
        <v>45537</v>
      </c>
      <c r="K7" s="2" t="s">
        <v>22</v>
      </c>
      <c r="L7" s="2" t="s">
        <v>23</v>
      </c>
      <c r="M7" s="2" t="n">
        <v>9</v>
      </c>
      <c r="N7" s="12" t="n">
        <v>3000</v>
      </c>
      <c r="O7" s="12"/>
      <c r="P7" s="12" t="n">
        <f aca="false">P6+N7</f>
        <v>3000</v>
      </c>
      <c r="Q7" s="12" t="n">
        <f aca="false">I7-P7</f>
        <v>110339</v>
      </c>
    </row>
    <row r="8" customFormat="false" ht="12.8" hidden="false" customHeight="false" outlineLevel="0" collapsed="false">
      <c r="A8" s="1" t="n">
        <v>45538</v>
      </c>
      <c r="C8" s="15"/>
      <c r="F8" s="12"/>
      <c r="G8" s="12" t="n">
        <f aca="false">SUM(E8:F8)</f>
        <v>0</v>
      </c>
      <c r="H8" s="12"/>
      <c r="I8" s="12" t="n">
        <f aca="false">I7+G8</f>
        <v>113339</v>
      </c>
      <c r="J8" s="1" t="n">
        <v>45538</v>
      </c>
      <c r="L8" s="15"/>
      <c r="N8" s="12"/>
      <c r="O8" s="12"/>
      <c r="P8" s="12" t="n">
        <f aca="false">P7+N8</f>
        <v>3000</v>
      </c>
      <c r="Q8" s="12" t="n">
        <f aca="false">I8-P8</f>
        <v>110339</v>
      </c>
    </row>
    <row r="9" customFormat="false" ht="12.8" hidden="false" customHeight="false" outlineLevel="0" collapsed="false">
      <c r="A9" s="1" t="n">
        <v>45539</v>
      </c>
      <c r="F9" s="12"/>
      <c r="G9" s="12" t="n">
        <f aca="false">SUM(E9:F9)</f>
        <v>0</v>
      </c>
      <c r="H9" s="12"/>
      <c r="I9" s="12" t="n">
        <f aca="false">I8+G9</f>
        <v>113339</v>
      </c>
      <c r="J9" s="1" t="n">
        <v>45539</v>
      </c>
      <c r="N9" s="12"/>
      <c r="O9" s="12"/>
      <c r="P9" s="12" t="n">
        <f aca="false">P8+N9</f>
        <v>3000</v>
      </c>
      <c r="Q9" s="12" t="n">
        <f aca="false">I9-P9</f>
        <v>110339</v>
      </c>
    </row>
    <row r="10" customFormat="false" ht="12.8" hidden="false" customHeight="false" outlineLevel="0" collapsed="false">
      <c r="A10" s="1" t="n">
        <v>45540</v>
      </c>
      <c r="F10" s="12"/>
      <c r="G10" s="12" t="n">
        <f aca="false">SUM(E10:F10)</f>
        <v>0</v>
      </c>
      <c r="H10" s="12"/>
      <c r="I10" s="12" t="n">
        <f aca="false">I9+G10</f>
        <v>113339</v>
      </c>
      <c r="J10" s="1" t="n">
        <v>45540</v>
      </c>
      <c r="N10" s="12"/>
      <c r="O10" s="12"/>
      <c r="P10" s="12" t="n">
        <f aca="false">P9+N10</f>
        <v>3000</v>
      </c>
      <c r="Q10" s="12" t="n">
        <f aca="false">I10-P10</f>
        <v>110339</v>
      </c>
    </row>
    <row r="11" customFormat="false" ht="12.8" hidden="false" customHeight="false" outlineLevel="0" collapsed="false">
      <c r="A11" s="1" t="n">
        <v>45541</v>
      </c>
      <c r="F11" s="12"/>
      <c r="G11" s="12" t="n">
        <f aca="false">SUM(E11:F11)</f>
        <v>0</v>
      </c>
      <c r="H11" s="12"/>
      <c r="I11" s="12" t="n">
        <f aca="false">I10+G11</f>
        <v>113339</v>
      </c>
      <c r="J11" s="1" t="n">
        <v>45541</v>
      </c>
      <c r="N11" s="12"/>
      <c r="O11" s="12"/>
      <c r="P11" s="12" t="n">
        <f aca="false">P10+N11</f>
        <v>3000</v>
      </c>
      <c r="Q11" s="12" t="n">
        <f aca="false">I11-P11</f>
        <v>110339</v>
      </c>
    </row>
    <row r="12" customFormat="false" ht="12.8" hidden="false" customHeight="false" outlineLevel="0" collapsed="false">
      <c r="A12" s="1" t="n">
        <v>45542</v>
      </c>
      <c r="F12" s="12"/>
      <c r="G12" s="12" t="n">
        <f aca="false">SUM(E12:F12)</f>
        <v>0</v>
      </c>
      <c r="H12" s="12"/>
      <c r="I12" s="12" t="n">
        <f aca="false">I11+G12</f>
        <v>113339</v>
      </c>
      <c r="J12" s="1" t="n">
        <v>45542</v>
      </c>
      <c r="N12" s="12"/>
      <c r="O12" s="12"/>
      <c r="P12" s="12" t="n">
        <f aca="false">P11+N12</f>
        <v>3000</v>
      </c>
      <c r="Q12" s="12" t="n">
        <f aca="false">I12-P12</f>
        <v>110339</v>
      </c>
    </row>
    <row r="13" customFormat="false" ht="12.8" hidden="false" customHeight="false" outlineLevel="0" collapsed="false">
      <c r="A13" s="1" t="n">
        <v>45543</v>
      </c>
      <c r="F13" s="12"/>
      <c r="G13" s="12" t="n">
        <f aca="false">SUM(E13:F13)</f>
        <v>0</v>
      </c>
      <c r="H13" s="12"/>
      <c r="I13" s="12" t="n">
        <f aca="false">I12+G13</f>
        <v>113339</v>
      </c>
      <c r="J13" s="1" t="n">
        <v>45543</v>
      </c>
      <c r="P13" s="12" t="n">
        <f aca="false">P12+N13</f>
        <v>3000</v>
      </c>
      <c r="Q13" s="12" t="n">
        <f aca="false">I13-P13</f>
        <v>110339</v>
      </c>
    </row>
    <row r="14" customFormat="false" ht="12.8" hidden="false" customHeight="false" outlineLevel="0" collapsed="false">
      <c r="A14" s="1" t="n">
        <v>45544</v>
      </c>
      <c r="F14" s="12"/>
      <c r="G14" s="12" t="n">
        <f aca="false">SUM(E14:F14)</f>
        <v>0</v>
      </c>
      <c r="H14" s="12"/>
      <c r="I14" s="12" t="n">
        <f aca="false">I13+G14</f>
        <v>113339</v>
      </c>
      <c r="J14" s="1" t="n">
        <v>45544</v>
      </c>
      <c r="N14" s="12"/>
      <c r="O14" s="12"/>
      <c r="P14" s="12" t="n">
        <f aca="false">P13+N14</f>
        <v>3000</v>
      </c>
      <c r="Q14" s="12" t="n">
        <f aca="false">I14-P14</f>
        <v>110339</v>
      </c>
    </row>
    <row r="15" customFormat="false" ht="12.8" hidden="false" customHeight="false" outlineLevel="0" collapsed="false">
      <c r="A15" s="1" t="n">
        <v>45545</v>
      </c>
      <c r="F15" s="12"/>
      <c r="G15" s="12" t="n">
        <f aca="false">SUM(E15:F15)</f>
        <v>0</v>
      </c>
      <c r="H15" s="12"/>
      <c r="I15" s="12" t="n">
        <f aca="false">I14+G15</f>
        <v>113339</v>
      </c>
      <c r="J15" s="1" t="n">
        <v>45545</v>
      </c>
      <c r="N15" s="12"/>
      <c r="O15" s="12"/>
      <c r="P15" s="12" t="n">
        <f aca="false">P14+N15</f>
        <v>3000</v>
      </c>
      <c r="Q15" s="12" t="n">
        <f aca="false">I15-P15</f>
        <v>110339</v>
      </c>
    </row>
    <row r="16" customFormat="false" ht="12.8" hidden="false" customHeight="false" outlineLevel="0" collapsed="false">
      <c r="A16" s="1" t="n">
        <v>45546</v>
      </c>
      <c r="F16" s="12"/>
      <c r="G16" s="12" t="n">
        <f aca="false">SUM(E16:F16)</f>
        <v>0</v>
      </c>
      <c r="H16" s="12"/>
      <c r="I16" s="12" t="n">
        <f aca="false">I15+G16</f>
        <v>113339</v>
      </c>
      <c r="J16" s="1" t="n">
        <v>45546</v>
      </c>
      <c r="N16" s="12"/>
      <c r="O16" s="12"/>
      <c r="P16" s="12" t="n">
        <f aca="false">P15+N16</f>
        <v>3000</v>
      </c>
      <c r="Q16" s="12" t="n">
        <f aca="false">I16-P16</f>
        <v>110339</v>
      </c>
    </row>
    <row r="17" customFormat="false" ht="12.8" hidden="false" customHeight="false" outlineLevel="0" collapsed="false">
      <c r="A17" s="1" t="n">
        <v>45547</v>
      </c>
      <c r="F17" s="12"/>
      <c r="G17" s="12" t="n">
        <f aca="false">SUM(E17:F17)</f>
        <v>0</v>
      </c>
      <c r="H17" s="12"/>
      <c r="I17" s="12" t="n">
        <f aca="false">I16+G17</f>
        <v>113339</v>
      </c>
      <c r="J17" s="1" t="n">
        <v>45547</v>
      </c>
      <c r="N17" s="12"/>
      <c r="O17" s="12"/>
      <c r="P17" s="12" t="n">
        <f aca="false">P16+N17</f>
        <v>3000</v>
      </c>
      <c r="Q17" s="12" t="n">
        <f aca="false">I17-P17</f>
        <v>110339</v>
      </c>
    </row>
    <row r="18" customFormat="false" ht="12.8" hidden="false" customHeight="false" outlineLevel="0" collapsed="false">
      <c r="A18" s="1" t="n">
        <v>45548</v>
      </c>
      <c r="F18" s="12"/>
      <c r="G18" s="12" t="n">
        <f aca="false">SUM(E18:F18)</f>
        <v>0</v>
      </c>
      <c r="H18" s="12"/>
      <c r="I18" s="12" t="n">
        <f aca="false">I17+G18</f>
        <v>113339</v>
      </c>
      <c r="J18" s="1" t="n">
        <v>45548</v>
      </c>
      <c r="K18" s="2" t="s">
        <v>30</v>
      </c>
      <c r="L18" s="2" t="s">
        <v>31</v>
      </c>
      <c r="M18" s="2" t="n">
        <v>11</v>
      </c>
      <c r="N18" s="12" t="n">
        <v>2000</v>
      </c>
      <c r="O18" s="12"/>
      <c r="P18" s="12" t="n">
        <f aca="false">P17+N18</f>
        <v>5000</v>
      </c>
      <c r="Q18" s="12" t="n">
        <f aca="false">I18-P18</f>
        <v>108339</v>
      </c>
    </row>
    <row r="19" customFormat="false" ht="12.8" hidden="false" customHeight="false" outlineLevel="0" collapsed="false">
      <c r="A19" s="1" t="n">
        <v>45549</v>
      </c>
      <c r="C19" s="19"/>
      <c r="F19" s="12"/>
      <c r="G19" s="12" t="n">
        <f aca="false">SUM(E19:F19)</f>
        <v>0</v>
      </c>
      <c r="H19" s="12"/>
      <c r="I19" s="12" t="n">
        <f aca="false">I18+G19</f>
        <v>113339</v>
      </c>
      <c r="J19" s="1" t="n">
        <v>45549</v>
      </c>
      <c r="N19" s="12"/>
      <c r="O19" s="12"/>
      <c r="P19" s="12" t="n">
        <f aca="false">P18+N19</f>
        <v>5000</v>
      </c>
      <c r="Q19" s="12" t="n">
        <f aca="false">I19-P19</f>
        <v>108339</v>
      </c>
    </row>
    <row r="20" customFormat="false" ht="12.8" hidden="false" customHeight="false" outlineLevel="0" collapsed="false">
      <c r="A20" s="1" t="n">
        <v>45550</v>
      </c>
      <c r="F20" s="12"/>
      <c r="G20" s="12" t="n">
        <f aca="false">SUM(E20:F20)</f>
        <v>0</v>
      </c>
      <c r="H20" s="12"/>
      <c r="I20" s="12" t="n">
        <f aca="false">I19+G20</f>
        <v>113339</v>
      </c>
      <c r="J20" s="1" t="n">
        <v>45550</v>
      </c>
      <c r="N20" s="12"/>
      <c r="O20" s="12"/>
      <c r="P20" s="12" t="n">
        <f aca="false">P19+N20</f>
        <v>5000</v>
      </c>
      <c r="Q20" s="12" t="n">
        <f aca="false">I20-P20</f>
        <v>108339</v>
      </c>
    </row>
    <row r="21" customFormat="false" ht="12.8" hidden="false" customHeight="false" outlineLevel="0" collapsed="false">
      <c r="A21" s="1" t="n">
        <v>45551</v>
      </c>
      <c r="F21" s="12"/>
      <c r="G21" s="12" t="n">
        <f aca="false">SUM(E21:F21)</f>
        <v>0</v>
      </c>
      <c r="H21" s="12"/>
      <c r="I21" s="12" t="n">
        <f aca="false">I20+G21</f>
        <v>113339</v>
      </c>
      <c r="J21" s="1" t="n">
        <v>45551</v>
      </c>
      <c r="N21" s="12"/>
      <c r="O21" s="12"/>
      <c r="P21" s="12" t="n">
        <f aca="false">P20+N21</f>
        <v>5000</v>
      </c>
      <c r="Q21" s="12" t="n">
        <f aca="false">I21-P21</f>
        <v>108339</v>
      </c>
    </row>
    <row r="22" customFormat="false" ht="24.85" hidden="false" customHeight="false" outlineLevel="0" collapsed="false">
      <c r="A22" s="1" t="n">
        <v>45552</v>
      </c>
      <c r="B22" s="2" t="s">
        <v>26</v>
      </c>
      <c r="C22" s="19" t="s">
        <v>50</v>
      </c>
      <c r="D22" s="2" t="n">
        <v>4</v>
      </c>
      <c r="F22" s="12" t="n">
        <v>10000</v>
      </c>
      <c r="G22" s="12" t="n">
        <f aca="false">SUM(E22:F22)</f>
        <v>10000</v>
      </c>
      <c r="H22" s="12"/>
      <c r="I22" s="12" t="n">
        <f aca="false">I21+G22</f>
        <v>123339</v>
      </c>
      <c r="J22" s="1" t="n">
        <v>45552</v>
      </c>
      <c r="N22" s="12"/>
      <c r="O22" s="12"/>
      <c r="P22" s="12" t="n">
        <f aca="false">P21+N22</f>
        <v>5000</v>
      </c>
      <c r="Q22" s="12" t="n">
        <f aca="false">I22-P22</f>
        <v>118339</v>
      </c>
    </row>
    <row r="23" customFormat="false" ht="12.8" hidden="false" customHeight="false" outlineLevel="0" collapsed="false">
      <c r="A23" s="1" t="n">
        <v>45553</v>
      </c>
      <c r="F23" s="12"/>
      <c r="G23" s="12" t="n">
        <f aca="false">SUM(E23:F23)</f>
        <v>0</v>
      </c>
      <c r="H23" s="12"/>
      <c r="I23" s="12" t="n">
        <f aca="false">I22+G23</f>
        <v>123339</v>
      </c>
      <c r="J23" s="1" t="n">
        <v>45553</v>
      </c>
      <c r="N23" s="12"/>
      <c r="O23" s="12"/>
      <c r="P23" s="12" t="n">
        <f aca="false">P22+N23</f>
        <v>5000</v>
      </c>
      <c r="Q23" s="12" t="n">
        <f aca="false">I23-P23</f>
        <v>118339</v>
      </c>
    </row>
    <row r="24" customFormat="false" ht="12.8" hidden="false" customHeight="false" outlineLevel="0" collapsed="false">
      <c r="A24" s="1" t="n">
        <v>45554</v>
      </c>
      <c r="F24" s="12"/>
      <c r="G24" s="12" t="n">
        <f aca="false">SUM(E24:F24)</f>
        <v>0</v>
      </c>
      <c r="H24" s="12"/>
      <c r="I24" s="12" t="n">
        <f aca="false">I23+G24</f>
        <v>123339</v>
      </c>
      <c r="J24" s="1" t="n">
        <v>45554</v>
      </c>
      <c r="N24" s="12"/>
      <c r="O24" s="12"/>
      <c r="P24" s="12" t="n">
        <f aca="false">P23+N24</f>
        <v>5000</v>
      </c>
      <c r="Q24" s="12" t="n">
        <f aca="false">I24-P24</f>
        <v>118339</v>
      </c>
    </row>
    <row r="25" customFormat="false" ht="12.8" hidden="false" customHeight="false" outlineLevel="0" collapsed="false">
      <c r="A25" s="1" t="n">
        <v>45555</v>
      </c>
      <c r="F25" s="12"/>
      <c r="G25" s="12" t="n">
        <f aca="false">SUM(E25:F25)</f>
        <v>0</v>
      </c>
      <c r="H25" s="12"/>
      <c r="I25" s="12" t="n">
        <f aca="false">I24+G25</f>
        <v>123339</v>
      </c>
      <c r="J25" s="1" t="n">
        <v>45555</v>
      </c>
      <c r="K25" s="2" t="s">
        <v>22</v>
      </c>
      <c r="L25" s="2" t="s">
        <v>32</v>
      </c>
      <c r="M25" s="2" t="n">
        <v>9</v>
      </c>
      <c r="N25" s="12" t="n">
        <v>3000</v>
      </c>
      <c r="O25" s="12"/>
      <c r="P25" s="12" t="n">
        <f aca="false">P24+N25</f>
        <v>8000</v>
      </c>
      <c r="Q25" s="12" t="n">
        <f aca="false">I25-P25</f>
        <v>115339</v>
      </c>
    </row>
    <row r="26" customFormat="false" ht="12.8" hidden="false" customHeight="false" outlineLevel="0" collapsed="false">
      <c r="A26" s="1" t="n">
        <v>45556</v>
      </c>
      <c r="F26" s="12"/>
      <c r="G26" s="12" t="n">
        <f aca="false">SUM(E26:F26)</f>
        <v>0</v>
      </c>
      <c r="H26" s="12"/>
      <c r="I26" s="12" t="n">
        <f aca="false">I25+G26</f>
        <v>123339</v>
      </c>
      <c r="J26" s="1" t="n">
        <v>45556</v>
      </c>
      <c r="N26" s="12"/>
      <c r="O26" s="12"/>
      <c r="P26" s="12" t="n">
        <f aca="false">P25+N26</f>
        <v>8000</v>
      </c>
      <c r="Q26" s="12" t="n">
        <f aca="false">I26-P26</f>
        <v>115339</v>
      </c>
    </row>
    <row r="27" customFormat="false" ht="12.8" hidden="false" customHeight="false" outlineLevel="0" collapsed="false">
      <c r="A27" s="1" t="n">
        <v>45557</v>
      </c>
      <c r="F27" s="12"/>
      <c r="G27" s="12" t="n">
        <f aca="false">SUM(E27:F27)</f>
        <v>0</v>
      </c>
      <c r="H27" s="12"/>
      <c r="I27" s="12" t="n">
        <f aca="false">I26+G27</f>
        <v>123339</v>
      </c>
      <c r="J27" s="1" t="n">
        <v>45557</v>
      </c>
      <c r="N27" s="12"/>
      <c r="O27" s="12"/>
      <c r="P27" s="12" t="n">
        <f aca="false">P26+N27</f>
        <v>8000</v>
      </c>
      <c r="Q27" s="12" t="n">
        <f aca="false">I27-P27</f>
        <v>115339</v>
      </c>
    </row>
    <row r="28" customFormat="false" ht="12.8" hidden="false" customHeight="false" outlineLevel="0" collapsed="false">
      <c r="A28" s="1" t="n">
        <v>45558</v>
      </c>
      <c r="C28" s="19"/>
      <c r="F28" s="12"/>
      <c r="G28" s="12" t="n">
        <f aca="false">SUM(E28:F28)</f>
        <v>0</v>
      </c>
      <c r="H28" s="12"/>
      <c r="I28" s="12" t="n">
        <f aca="false">I27+G28</f>
        <v>123339</v>
      </c>
      <c r="J28" s="1" t="n">
        <v>45558</v>
      </c>
      <c r="L28" s="19"/>
      <c r="N28" s="12"/>
      <c r="O28" s="12"/>
      <c r="P28" s="12" t="n">
        <f aca="false">P27+N28</f>
        <v>8000</v>
      </c>
      <c r="Q28" s="12" t="n">
        <f aca="false">I28-P28</f>
        <v>115339</v>
      </c>
    </row>
    <row r="29" customFormat="false" ht="12.8" hidden="false" customHeight="false" outlineLevel="0" collapsed="false">
      <c r="A29" s="1" t="n">
        <v>45559</v>
      </c>
      <c r="F29" s="12"/>
      <c r="G29" s="12" t="n">
        <f aca="false">SUM(E29:F29)</f>
        <v>0</v>
      </c>
      <c r="H29" s="12"/>
      <c r="I29" s="12" t="n">
        <f aca="false">I28+G29</f>
        <v>123339</v>
      </c>
      <c r="J29" s="1" t="n">
        <v>45559</v>
      </c>
      <c r="N29" s="12"/>
      <c r="O29" s="12"/>
      <c r="P29" s="12" t="n">
        <f aca="false">P28+N29</f>
        <v>8000</v>
      </c>
      <c r="Q29" s="12" t="n">
        <f aca="false">I29-P29</f>
        <v>115339</v>
      </c>
    </row>
    <row r="30" customFormat="false" ht="12.8" hidden="false" customHeight="false" outlineLevel="0" collapsed="false">
      <c r="A30" s="1" t="n">
        <v>45560</v>
      </c>
      <c r="F30" s="12"/>
      <c r="G30" s="12" t="n">
        <f aca="false">SUM(E30:F30)</f>
        <v>0</v>
      </c>
      <c r="H30" s="12"/>
      <c r="I30" s="12" t="n">
        <f aca="false">I29+G30</f>
        <v>123339</v>
      </c>
      <c r="J30" s="1" t="n">
        <v>45560</v>
      </c>
      <c r="N30" s="12"/>
      <c r="O30" s="12"/>
      <c r="P30" s="12" t="n">
        <f aca="false">P29+N30</f>
        <v>8000</v>
      </c>
      <c r="Q30" s="12" t="n">
        <f aca="false">I30-P30</f>
        <v>115339</v>
      </c>
    </row>
    <row r="31" customFormat="false" ht="12.8" hidden="false" customHeight="false" outlineLevel="0" collapsed="false">
      <c r="A31" s="1" t="n">
        <v>45561</v>
      </c>
      <c r="G31" s="12" t="n">
        <f aca="false">SUM(E31:F31)</f>
        <v>0</v>
      </c>
      <c r="H31" s="12"/>
      <c r="I31" s="12" t="n">
        <f aca="false">I30+G31</f>
        <v>123339</v>
      </c>
      <c r="J31" s="1" t="n">
        <v>45561</v>
      </c>
      <c r="N31" s="12"/>
      <c r="O31" s="12"/>
      <c r="P31" s="12" t="n">
        <f aca="false">P30+N31</f>
        <v>8000</v>
      </c>
      <c r="Q31" s="12" t="n">
        <f aca="false">I31-P31</f>
        <v>115339</v>
      </c>
    </row>
    <row r="32" customFormat="false" ht="12.8" hidden="false" customHeight="false" outlineLevel="0" collapsed="false">
      <c r="A32" s="1" t="n">
        <v>45562</v>
      </c>
      <c r="G32" s="12" t="n">
        <f aca="false">SUM(E32:F32)</f>
        <v>0</v>
      </c>
      <c r="H32" s="12"/>
      <c r="I32" s="12" t="n">
        <f aca="false">I31+G32</f>
        <v>123339</v>
      </c>
      <c r="J32" s="1" t="n">
        <v>45562</v>
      </c>
      <c r="N32" s="12"/>
      <c r="O32" s="12"/>
      <c r="P32" s="12" t="n">
        <f aca="false">P31+N32</f>
        <v>8000</v>
      </c>
      <c r="Q32" s="12" t="n">
        <f aca="false">I32-P32</f>
        <v>115339</v>
      </c>
    </row>
    <row r="33" customFormat="false" ht="12.8" hidden="false" customHeight="false" outlineLevel="0" collapsed="false">
      <c r="A33" s="1" t="n">
        <v>45563</v>
      </c>
      <c r="G33" s="12" t="n">
        <f aca="false">SUM(E33:F33)</f>
        <v>0</v>
      </c>
      <c r="H33" s="12"/>
      <c r="I33" s="12" t="n">
        <f aca="false">I32+G33</f>
        <v>123339</v>
      </c>
      <c r="J33" s="1" t="n">
        <v>45563</v>
      </c>
      <c r="K33" s="2" t="s">
        <v>30</v>
      </c>
      <c r="L33" s="2" t="s">
        <v>31</v>
      </c>
      <c r="M33" s="2" t="n">
        <v>11</v>
      </c>
      <c r="N33" s="12" t="n">
        <v>500</v>
      </c>
      <c r="O33" s="12"/>
      <c r="P33" s="12" t="n">
        <f aca="false">P32+N33</f>
        <v>8500</v>
      </c>
      <c r="Q33" s="12" t="n">
        <f aca="false">I33-P33</f>
        <v>114839</v>
      </c>
    </row>
    <row r="34" customFormat="false" ht="12.8" hidden="false" customHeight="false" outlineLevel="0" collapsed="false">
      <c r="A34" s="1" t="n">
        <v>45564</v>
      </c>
      <c r="G34" s="12" t="n">
        <f aca="false">SUM(E34:F34)</f>
        <v>0</v>
      </c>
      <c r="H34" s="12"/>
      <c r="I34" s="12" t="n">
        <f aca="false">I33+G34</f>
        <v>123339</v>
      </c>
      <c r="J34" s="1" t="n">
        <v>45564</v>
      </c>
      <c r="N34" s="12"/>
      <c r="O34" s="12"/>
      <c r="P34" s="12" t="n">
        <f aca="false">P33+N34</f>
        <v>8500</v>
      </c>
      <c r="Q34" s="12" t="n">
        <f aca="false">I34-P34</f>
        <v>114839</v>
      </c>
    </row>
    <row r="35" customFormat="false" ht="12.8" hidden="false" customHeight="false" outlineLevel="0" collapsed="false">
      <c r="A35" s="1" t="n">
        <v>45565</v>
      </c>
      <c r="G35" s="12" t="n">
        <f aca="false">SUM(E35:F35)</f>
        <v>0</v>
      </c>
      <c r="H35" s="12"/>
      <c r="I35" s="12" t="n">
        <f aca="false">I34+G35</f>
        <v>123339</v>
      </c>
      <c r="J35" s="1" t="n">
        <v>45565</v>
      </c>
      <c r="K35" s="2" t="s">
        <v>19</v>
      </c>
      <c r="L35" s="2" t="s">
        <v>34</v>
      </c>
      <c r="N35" s="12" t="n">
        <f aca="false">Q34</f>
        <v>114839</v>
      </c>
      <c r="O35" s="12"/>
      <c r="P35" s="12" t="n">
        <f aca="false">P34+N35</f>
        <v>123339</v>
      </c>
      <c r="Q35" s="12" t="n">
        <f aca="false">I35-P35</f>
        <v>0</v>
      </c>
    </row>
    <row r="37" customFormat="false" ht="12.8" hidden="false" customHeight="false" outlineLevel="0" collapsed="false">
      <c r="H37" s="3" t="n">
        <f aca="false">SUM(H6:H35)</f>
        <v>0</v>
      </c>
      <c r="I37" s="12" t="n">
        <f aca="false">J40+G37</f>
        <v>0</v>
      </c>
      <c r="O37" s="3" t="n">
        <f aca="false">SUM(O6:O35)</f>
        <v>0</v>
      </c>
      <c r="P37" s="12"/>
      <c r="Q37" s="12"/>
    </row>
    <row r="40" customFormat="false" ht="12.8" hidden="false" customHeight="false" outlineLevel="0" collapsed="false">
      <c r="H40" s="12"/>
      <c r="J40" s="12"/>
      <c r="K40" s="1"/>
      <c r="Q40" s="12"/>
      <c r="R40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8" activeCellId="0" sqref="N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10.59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10.59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Oct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45566</v>
      </c>
      <c r="B6" s="2" t="s">
        <v>19</v>
      </c>
      <c r="C6" s="2" t="s">
        <v>20</v>
      </c>
      <c r="F6" s="12" t="n">
        <f aca="false">Sep!N35</f>
        <v>114839</v>
      </c>
      <c r="G6" s="12" t="n">
        <f aca="false">Sep!N35</f>
        <v>114839</v>
      </c>
      <c r="H6" s="12"/>
      <c r="I6" s="12" t="n">
        <f aca="false">I5+G6</f>
        <v>114839</v>
      </c>
      <c r="J6" s="1" t="n">
        <v>45566</v>
      </c>
      <c r="N6" s="12"/>
      <c r="O6" s="12"/>
      <c r="P6" s="12" t="n">
        <f aca="false">P5+N6</f>
        <v>0</v>
      </c>
      <c r="Q6" s="12" t="n">
        <f aca="false">I6-P6</f>
        <v>114839</v>
      </c>
    </row>
    <row r="7" customFormat="false" ht="12.8" hidden="false" customHeight="false" outlineLevel="0" collapsed="false">
      <c r="A7" s="1" t="n">
        <v>45567</v>
      </c>
      <c r="C7" s="31"/>
      <c r="F7" s="12"/>
      <c r="G7" s="12" t="n">
        <f aca="false">SUM(E7:F7)</f>
        <v>0</v>
      </c>
      <c r="H7" s="12"/>
      <c r="I7" s="12" t="n">
        <f aca="false">I6+G7</f>
        <v>114839</v>
      </c>
      <c r="J7" s="1" t="n">
        <v>45567</v>
      </c>
      <c r="K7" s="2" t="s">
        <v>30</v>
      </c>
      <c r="L7" s="2" t="s">
        <v>31</v>
      </c>
      <c r="M7" s="2" t="n">
        <v>9</v>
      </c>
      <c r="N7" s="12" t="n">
        <v>1000</v>
      </c>
      <c r="O7" s="12"/>
      <c r="P7" s="12" t="n">
        <f aca="false">P6+N7</f>
        <v>1000</v>
      </c>
      <c r="Q7" s="12" t="n">
        <f aca="false">I7-P7</f>
        <v>113839</v>
      </c>
    </row>
    <row r="8" customFormat="false" ht="36.45" hidden="false" customHeight="false" outlineLevel="0" collapsed="false">
      <c r="A8" s="1" t="n">
        <v>45568</v>
      </c>
      <c r="B8" s="2" t="s">
        <v>28</v>
      </c>
      <c r="C8" s="16" t="s">
        <v>51</v>
      </c>
      <c r="D8" s="2" t="n">
        <v>8</v>
      </c>
      <c r="F8" s="12"/>
      <c r="G8" s="12" t="n">
        <f aca="false">SUM(E8:F8)</f>
        <v>0</v>
      </c>
      <c r="H8" s="12" t="n">
        <f aca="false">2520*1.1</f>
        <v>2772</v>
      </c>
      <c r="I8" s="12" t="n">
        <f aca="false">I7+G8</f>
        <v>114839</v>
      </c>
      <c r="J8" s="1" t="n">
        <v>45568</v>
      </c>
      <c r="K8" s="2" t="s">
        <v>26</v>
      </c>
      <c r="L8" s="16" t="s">
        <v>51</v>
      </c>
      <c r="M8" s="2" t="n">
        <v>4</v>
      </c>
      <c r="N8" s="12"/>
      <c r="O8" s="12" t="n">
        <v>2520</v>
      </c>
      <c r="P8" s="12" t="n">
        <f aca="false">P7+N8</f>
        <v>1000</v>
      </c>
      <c r="Q8" s="12" t="n">
        <f aca="false">I8-P8</f>
        <v>113839</v>
      </c>
    </row>
    <row r="9" customFormat="false" ht="12.8" hidden="false" customHeight="false" outlineLevel="0" collapsed="false">
      <c r="A9" s="1" t="n">
        <v>45568</v>
      </c>
      <c r="C9" s="31"/>
      <c r="F9" s="12"/>
      <c r="G9" s="12" t="n">
        <f aca="false">SUM(E9:F9)</f>
        <v>0</v>
      </c>
      <c r="H9" s="12"/>
      <c r="I9" s="12" t="n">
        <f aca="false">I8+G9</f>
        <v>114839</v>
      </c>
      <c r="J9" s="1" t="n">
        <v>45568</v>
      </c>
      <c r="K9" s="2" t="s">
        <v>38</v>
      </c>
      <c r="L9" s="31"/>
      <c r="M9" s="2" t="n">
        <v>10</v>
      </c>
      <c r="N9" s="12"/>
      <c r="O9" s="12" t="n">
        <v>252</v>
      </c>
      <c r="P9" s="12" t="n">
        <f aca="false">P8+N9</f>
        <v>1000</v>
      </c>
      <c r="Q9" s="12" t="n">
        <f aca="false">I9-P9</f>
        <v>113839</v>
      </c>
    </row>
    <row r="10" customFormat="false" ht="36.45" hidden="false" customHeight="false" outlineLevel="0" collapsed="false">
      <c r="A10" s="1" t="n">
        <v>45568</v>
      </c>
      <c r="B10" s="2" t="s">
        <v>28</v>
      </c>
      <c r="C10" s="16" t="s">
        <v>51</v>
      </c>
      <c r="D10" s="2" t="n">
        <v>8</v>
      </c>
      <c r="F10" s="12"/>
      <c r="G10" s="12" t="n">
        <f aca="false">SUM(E10:F10)</f>
        <v>0</v>
      </c>
      <c r="H10" s="12" t="n">
        <f aca="false">5400*1.1</f>
        <v>5940</v>
      </c>
      <c r="I10" s="12" t="n">
        <f aca="false">I9+G10</f>
        <v>114839</v>
      </c>
      <c r="J10" s="1" t="n">
        <v>45568</v>
      </c>
      <c r="K10" s="2" t="s">
        <v>26</v>
      </c>
      <c r="L10" s="16" t="s">
        <v>51</v>
      </c>
      <c r="M10" s="2" t="n">
        <v>4</v>
      </c>
      <c r="N10" s="12"/>
      <c r="O10" s="12" t="n">
        <v>5400</v>
      </c>
      <c r="P10" s="12" t="n">
        <f aca="false">P9+N10</f>
        <v>1000</v>
      </c>
      <c r="Q10" s="12" t="n">
        <f aca="false">I10-P10</f>
        <v>113839</v>
      </c>
    </row>
    <row r="11" customFormat="false" ht="12.8" hidden="false" customHeight="false" outlineLevel="0" collapsed="false">
      <c r="A11" s="1" t="n">
        <v>45568</v>
      </c>
      <c r="C11" s="31"/>
      <c r="F11" s="12"/>
      <c r="G11" s="12" t="n">
        <f aca="false">SUM(E11:F11)</f>
        <v>0</v>
      </c>
      <c r="H11" s="12"/>
      <c r="I11" s="12" t="n">
        <f aca="false">I10+G11</f>
        <v>114839</v>
      </c>
      <c r="J11" s="1" t="n">
        <v>45568</v>
      </c>
      <c r="K11" s="2" t="s">
        <v>38</v>
      </c>
      <c r="L11" s="31"/>
      <c r="M11" s="2" t="n">
        <v>10</v>
      </c>
      <c r="N11" s="12"/>
      <c r="O11" s="12" t="n">
        <v>540</v>
      </c>
      <c r="P11" s="12" t="n">
        <f aca="false">P10+N11</f>
        <v>1000</v>
      </c>
      <c r="Q11" s="12" t="n">
        <f aca="false">I11-P11</f>
        <v>113839</v>
      </c>
    </row>
    <row r="12" customFormat="false" ht="36.45" hidden="false" customHeight="false" outlineLevel="0" collapsed="false">
      <c r="A12" s="1" t="n">
        <v>45568</v>
      </c>
      <c r="B12" s="2" t="s">
        <v>28</v>
      </c>
      <c r="C12" s="16" t="s">
        <v>51</v>
      </c>
      <c r="D12" s="2" t="n">
        <v>8</v>
      </c>
      <c r="F12" s="12"/>
      <c r="G12" s="12" t="n">
        <f aca="false">SUM(E12:F12)</f>
        <v>0</v>
      </c>
      <c r="H12" s="12" t="n">
        <f aca="false">4140*1.1</f>
        <v>4554</v>
      </c>
      <c r="I12" s="12" t="n">
        <f aca="false">I11+G12</f>
        <v>114839</v>
      </c>
      <c r="J12" s="1" t="n">
        <v>45568</v>
      </c>
      <c r="K12" s="2" t="s">
        <v>26</v>
      </c>
      <c r="L12" s="16" t="s">
        <v>51</v>
      </c>
      <c r="M12" s="2" t="n">
        <v>4</v>
      </c>
      <c r="N12" s="12"/>
      <c r="O12" s="12" t="n">
        <v>4140</v>
      </c>
      <c r="P12" s="12" t="n">
        <f aca="false">P11+N12</f>
        <v>1000</v>
      </c>
      <c r="Q12" s="12" t="n">
        <f aca="false">I12-P12</f>
        <v>113839</v>
      </c>
    </row>
    <row r="13" customFormat="false" ht="12.8" hidden="false" customHeight="false" outlineLevel="0" collapsed="false">
      <c r="A13" s="1" t="n">
        <v>45568</v>
      </c>
      <c r="F13" s="12"/>
      <c r="G13" s="12" t="n">
        <f aca="false">SUM(E13:F13)</f>
        <v>0</v>
      </c>
      <c r="H13" s="12"/>
      <c r="I13" s="12" t="n">
        <f aca="false">I12+G13</f>
        <v>114839</v>
      </c>
      <c r="J13" s="1" t="n">
        <v>45568</v>
      </c>
      <c r="K13" s="2" t="s">
        <v>38</v>
      </c>
      <c r="L13" s="35"/>
      <c r="M13" s="2" t="n">
        <v>10</v>
      </c>
      <c r="N13" s="35"/>
      <c r="O13" s="12" t="n">
        <v>414</v>
      </c>
      <c r="P13" s="12" t="n">
        <f aca="false">P12+N20</f>
        <v>1500</v>
      </c>
      <c r="Q13" s="12" t="n">
        <f aca="false">I13-P13</f>
        <v>113339</v>
      </c>
    </row>
    <row r="14" customFormat="false" ht="12.8" hidden="false" customHeight="false" outlineLevel="0" collapsed="false">
      <c r="A14" s="1" t="n">
        <v>45574</v>
      </c>
      <c r="F14" s="12"/>
      <c r="G14" s="12" t="n">
        <f aca="false">SUM(E14:F14)</f>
        <v>0</v>
      </c>
      <c r="H14" s="12"/>
      <c r="I14" s="12" t="n">
        <f aca="false">I13+G14</f>
        <v>114839</v>
      </c>
      <c r="J14" s="1" t="n">
        <v>45574</v>
      </c>
      <c r="K14" s="35"/>
      <c r="L14" s="35"/>
      <c r="M14" s="35"/>
      <c r="N14" s="35"/>
      <c r="O14" s="12"/>
      <c r="P14" s="12" t="n">
        <f aca="false">P13+N21</f>
        <v>1500</v>
      </c>
      <c r="Q14" s="12" t="n">
        <f aca="false">I14-P14</f>
        <v>113339</v>
      </c>
    </row>
    <row r="15" customFormat="false" ht="12.8" hidden="false" customHeight="false" outlineLevel="0" collapsed="false">
      <c r="A15" s="1" t="n">
        <v>45575</v>
      </c>
      <c r="F15" s="12"/>
      <c r="G15" s="12" t="n">
        <f aca="false">SUM(E15:F15)</f>
        <v>0</v>
      </c>
      <c r="H15" s="12"/>
      <c r="I15" s="12" t="n">
        <f aca="false">I14+G15</f>
        <v>114839</v>
      </c>
      <c r="J15" s="1" t="n">
        <v>45575</v>
      </c>
      <c r="N15" s="12"/>
      <c r="O15" s="12"/>
      <c r="P15" s="12" t="n">
        <f aca="false">P14+N15</f>
        <v>1500</v>
      </c>
      <c r="Q15" s="12" t="n">
        <f aca="false">I15-P15</f>
        <v>113339</v>
      </c>
    </row>
    <row r="16" customFormat="false" ht="12.8" hidden="false" customHeight="false" outlineLevel="0" collapsed="false">
      <c r="A16" s="1" t="n">
        <v>45576</v>
      </c>
      <c r="F16" s="12"/>
      <c r="G16" s="12" t="n">
        <f aca="false">SUM(E16:F16)</f>
        <v>0</v>
      </c>
      <c r="H16" s="12"/>
      <c r="I16" s="12" t="n">
        <f aca="false">I15+G16</f>
        <v>114839</v>
      </c>
      <c r="J16" s="1" t="n">
        <v>45576</v>
      </c>
      <c r="N16" s="12"/>
      <c r="O16" s="12"/>
      <c r="P16" s="12" t="n">
        <f aca="false">P15+N16</f>
        <v>1500</v>
      </c>
      <c r="Q16" s="12" t="n">
        <f aca="false">I16-P16</f>
        <v>113339</v>
      </c>
    </row>
    <row r="17" customFormat="false" ht="12.8" hidden="false" customHeight="false" outlineLevel="0" collapsed="false">
      <c r="A17" s="1" t="n">
        <v>45577</v>
      </c>
      <c r="F17" s="12"/>
      <c r="G17" s="12" t="n">
        <f aca="false">SUM(E17:F17)</f>
        <v>0</v>
      </c>
      <c r="H17" s="12"/>
      <c r="I17" s="12" t="n">
        <f aca="false">I16+G17</f>
        <v>114839</v>
      </c>
      <c r="J17" s="1" t="n">
        <v>45577</v>
      </c>
      <c r="N17" s="12"/>
      <c r="O17" s="12"/>
      <c r="P17" s="12" t="n">
        <f aca="false">P16+N17</f>
        <v>1500</v>
      </c>
      <c r="Q17" s="12" t="n">
        <f aca="false">I17-P17</f>
        <v>113339</v>
      </c>
    </row>
    <row r="18" customFormat="false" ht="12.8" hidden="false" customHeight="false" outlineLevel="0" collapsed="false">
      <c r="A18" s="1" t="n">
        <v>45578</v>
      </c>
      <c r="F18" s="12"/>
      <c r="G18" s="12" t="n">
        <f aca="false">SUM(E18:F18)</f>
        <v>0</v>
      </c>
      <c r="H18" s="12"/>
      <c r="I18" s="12" t="n">
        <f aca="false">I17+G18</f>
        <v>114839</v>
      </c>
      <c r="J18" s="1" t="n">
        <v>45578</v>
      </c>
      <c r="O18" s="12"/>
      <c r="P18" s="12" t="n">
        <f aca="false">P17+N18</f>
        <v>1500</v>
      </c>
      <c r="Q18" s="12" t="n">
        <f aca="false">I18-P18</f>
        <v>113339</v>
      </c>
    </row>
    <row r="19" customFormat="false" ht="12.8" hidden="false" customHeight="false" outlineLevel="0" collapsed="false">
      <c r="A19" s="1" t="n">
        <v>45579</v>
      </c>
      <c r="F19" s="12"/>
      <c r="G19" s="12" t="n">
        <f aca="false">SUM(E19:F19)</f>
        <v>0</v>
      </c>
      <c r="H19" s="12"/>
      <c r="I19" s="12" t="n">
        <f aca="false">I18+G19</f>
        <v>114839</v>
      </c>
      <c r="J19" s="1" t="n">
        <v>45579</v>
      </c>
      <c r="N19" s="12"/>
      <c r="O19" s="12"/>
      <c r="P19" s="12" t="n">
        <f aca="false">P18+N19</f>
        <v>1500</v>
      </c>
      <c r="Q19" s="12" t="n">
        <f aca="false">I19-P19</f>
        <v>113339</v>
      </c>
    </row>
    <row r="20" customFormat="false" ht="12.8" hidden="false" customHeight="false" outlineLevel="0" collapsed="false">
      <c r="A20" s="1" t="n">
        <v>45580</v>
      </c>
      <c r="F20" s="12"/>
      <c r="G20" s="12" t="n">
        <f aca="false">SUM(E20:F20)</f>
        <v>0</v>
      </c>
      <c r="H20" s="12"/>
      <c r="I20" s="12" t="n">
        <f aca="false">I19+G20</f>
        <v>114839</v>
      </c>
      <c r="J20" s="1" t="n">
        <v>45580</v>
      </c>
      <c r="K20" s="2" t="s">
        <v>30</v>
      </c>
      <c r="L20" s="2" t="s">
        <v>31</v>
      </c>
      <c r="M20" s="2" t="n">
        <v>11</v>
      </c>
      <c r="N20" s="12" t="n">
        <v>500</v>
      </c>
      <c r="O20" s="12"/>
      <c r="P20" s="12" t="n">
        <f aca="false">P19+N20</f>
        <v>2000</v>
      </c>
      <c r="Q20" s="12" t="n">
        <f aca="false">I20-P20</f>
        <v>112839</v>
      </c>
    </row>
    <row r="21" customFormat="false" ht="12.8" hidden="false" customHeight="false" outlineLevel="0" collapsed="false">
      <c r="A21" s="1" t="n">
        <v>45581</v>
      </c>
      <c r="B21" s="5"/>
      <c r="C21" s="5"/>
      <c r="D21" s="5"/>
      <c r="E21" s="5"/>
      <c r="F21" s="6"/>
      <c r="G21" s="12" t="n">
        <f aca="false">SUM(E21:F21)</f>
        <v>0</v>
      </c>
      <c r="H21" s="12"/>
      <c r="I21" s="12" t="n">
        <f aca="false">I20+G21</f>
        <v>114839</v>
      </c>
      <c r="J21" s="1" t="n">
        <v>45581</v>
      </c>
      <c r="O21" s="6"/>
      <c r="P21" s="12" t="n">
        <f aca="false">P20+N21</f>
        <v>2000</v>
      </c>
      <c r="Q21" s="12" t="n">
        <f aca="false">I21-P21</f>
        <v>112839</v>
      </c>
    </row>
    <row r="22" customFormat="false" ht="12.8" hidden="false" customHeight="false" outlineLevel="0" collapsed="false">
      <c r="A22" s="1" t="n">
        <v>45582</v>
      </c>
      <c r="B22" s="5"/>
      <c r="C22" s="5"/>
      <c r="D22" s="8"/>
      <c r="E22" s="9"/>
      <c r="F22" s="9"/>
      <c r="G22" s="12" t="n">
        <f aca="false">SUM(E22:F22)</f>
        <v>0</v>
      </c>
      <c r="H22" s="12"/>
      <c r="I22" s="12" t="n">
        <f aca="false">I21+G22</f>
        <v>114839</v>
      </c>
      <c r="J22" s="1" t="n">
        <v>45582</v>
      </c>
      <c r="K22" s="8"/>
      <c r="L22" s="9"/>
      <c r="M22" s="9"/>
      <c r="N22" s="9"/>
      <c r="O22" s="9"/>
      <c r="P22" s="12" t="n">
        <f aca="false">P21+N22</f>
        <v>2000</v>
      </c>
      <c r="Q22" s="12" t="n">
        <f aca="false">I22-P22</f>
        <v>112839</v>
      </c>
    </row>
    <row r="23" customFormat="false" ht="12.8" hidden="false" customHeight="false" outlineLevel="0" collapsed="false">
      <c r="A23" s="1" t="n">
        <v>45583</v>
      </c>
      <c r="B23" s="5"/>
      <c r="C23" s="5"/>
      <c r="D23" s="5"/>
      <c r="E23" s="5"/>
      <c r="F23" s="6"/>
      <c r="G23" s="12" t="n">
        <f aca="false">SUM(E23:F23)</f>
        <v>0</v>
      </c>
      <c r="H23" s="12"/>
      <c r="I23" s="12" t="n">
        <f aca="false">I22+G23</f>
        <v>114839</v>
      </c>
      <c r="J23" s="1" t="n">
        <v>45583</v>
      </c>
      <c r="K23" s="5"/>
      <c r="L23" s="5"/>
      <c r="M23" s="5"/>
      <c r="N23" s="6"/>
      <c r="O23" s="6"/>
      <c r="P23" s="12" t="n">
        <f aca="false">P22+N23</f>
        <v>2000</v>
      </c>
      <c r="Q23" s="12" t="n">
        <f aca="false">I23-P23</f>
        <v>112839</v>
      </c>
    </row>
    <row r="24" customFormat="false" ht="12.8" hidden="false" customHeight="false" outlineLevel="0" collapsed="false">
      <c r="A24" s="1" t="n">
        <v>45584</v>
      </c>
      <c r="B24" s="5"/>
      <c r="C24" s="5"/>
      <c r="D24" s="8"/>
      <c r="E24" s="8"/>
      <c r="F24" s="9"/>
      <c r="G24" s="12" t="n">
        <f aca="false">SUM(E24:F24)</f>
        <v>0</v>
      </c>
      <c r="H24" s="12"/>
      <c r="I24" s="12" t="n">
        <f aca="false">I23+G24</f>
        <v>114839</v>
      </c>
      <c r="J24" s="1" t="n">
        <v>45584</v>
      </c>
      <c r="K24" s="5"/>
      <c r="L24" s="5"/>
      <c r="M24" s="8"/>
      <c r="N24" s="9"/>
      <c r="O24" s="9"/>
      <c r="P24" s="12" t="n">
        <f aca="false">P23+N24</f>
        <v>2000</v>
      </c>
      <c r="Q24" s="12" t="n">
        <f aca="false">I24-P24</f>
        <v>112839</v>
      </c>
    </row>
    <row r="25" customFormat="false" ht="12.8" hidden="false" customHeight="false" outlineLevel="0" collapsed="false">
      <c r="A25" s="1" t="n">
        <v>45585</v>
      </c>
      <c r="G25" s="12" t="n">
        <f aca="false">SUM(E25:F25)</f>
        <v>0</v>
      </c>
      <c r="H25" s="12"/>
      <c r="I25" s="12" t="n">
        <f aca="false">I24+G25</f>
        <v>114839</v>
      </c>
      <c r="J25" s="1" t="n">
        <v>45585</v>
      </c>
      <c r="K25" s="2" t="s">
        <v>22</v>
      </c>
      <c r="L25" s="2" t="s">
        <v>32</v>
      </c>
      <c r="M25" s="2" t="n">
        <v>9</v>
      </c>
      <c r="N25" s="12" t="n">
        <v>3000</v>
      </c>
      <c r="P25" s="12" t="n">
        <f aca="false">P24+N25</f>
        <v>5000</v>
      </c>
      <c r="Q25" s="12" t="n">
        <f aca="false">I25-P25</f>
        <v>109839</v>
      </c>
    </row>
    <row r="26" customFormat="false" ht="12.8" hidden="false" customHeight="false" outlineLevel="0" collapsed="false">
      <c r="A26" s="1" t="n">
        <v>45586</v>
      </c>
      <c r="F26" s="12"/>
      <c r="G26" s="12" t="n">
        <f aca="false">SUM(E26:F26)</f>
        <v>0</v>
      </c>
      <c r="H26" s="12"/>
      <c r="I26" s="12" t="n">
        <f aca="false">I25+G26</f>
        <v>114839</v>
      </c>
      <c r="J26" s="1" t="n">
        <v>45586</v>
      </c>
      <c r="N26" s="12"/>
      <c r="O26" s="12"/>
      <c r="P26" s="12" t="n">
        <f aca="false">P25+N26</f>
        <v>5000</v>
      </c>
      <c r="Q26" s="12" t="n">
        <f aca="false">I26-P26</f>
        <v>109839</v>
      </c>
    </row>
    <row r="27" customFormat="false" ht="36.45" hidden="false" customHeight="false" outlineLevel="0" collapsed="false">
      <c r="A27" s="1" t="n">
        <v>45587</v>
      </c>
      <c r="B27" s="2" t="s">
        <v>26</v>
      </c>
      <c r="C27" s="19" t="s">
        <v>52</v>
      </c>
      <c r="D27" s="2" t="n">
        <v>4</v>
      </c>
      <c r="F27" s="12" t="n">
        <v>5000</v>
      </c>
      <c r="G27" s="12" t="n">
        <f aca="false">SUM(E27:F27)</f>
        <v>5000</v>
      </c>
      <c r="H27" s="12"/>
      <c r="I27" s="12" t="n">
        <f aca="false">I26+G27</f>
        <v>119839</v>
      </c>
      <c r="J27" s="1" t="n">
        <v>45587</v>
      </c>
      <c r="N27" s="12"/>
      <c r="O27" s="12"/>
      <c r="P27" s="12" t="n">
        <f aca="false">P26+N27</f>
        <v>5000</v>
      </c>
      <c r="Q27" s="12" t="n">
        <f aca="false">I27-P27</f>
        <v>114839</v>
      </c>
    </row>
    <row r="28" customFormat="false" ht="12.8" hidden="false" customHeight="false" outlineLevel="0" collapsed="false">
      <c r="A28" s="1" t="n">
        <v>45588</v>
      </c>
      <c r="C28" s="31"/>
      <c r="F28" s="12"/>
      <c r="G28" s="12" t="n">
        <f aca="false">SUM(E28:F28)</f>
        <v>0</v>
      </c>
      <c r="H28" s="12"/>
      <c r="I28" s="12" t="n">
        <f aca="false">I27+G28</f>
        <v>119839</v>
      </c>
      <c r="J28" s="1" t="n">
        <v>45588</v>
      </c>
      <c r="N28" s="12"/>
      <c r="O28" s="12"/>
      <c r="P28" s="12" t="n">
        <f aca="false">P27+N28</f>
        <v>5000</v>
      </c>
      <c r="Q28" s="12" t="n">
        <f aca="false">I28-P28</f>
        <v>114839</v>
      </c>
    </row>
    <row r="29" customFormat="false" ht="12.8" hidden="false" customHeight="false" outlineLevel="0" collapsed="false">
      <c r="A29" s="1" t="n">
        <v>45589</v>
      </c>
      <c r="F29" s="12"/>
      <c r="G29" s="12" t="n">
        <f aca="false">SUM(E29:F29)</f>
        <v>0</v>
      </c>
      <c r="H29" s="12"/>
      <c r="I29" s="12" t="n">
        <f aca="false">I28+G29</f>
        <v>119839</v>
      </c>
      <c r="J29" s="1" t="n">
        <v>45589</v>
      </c>
      <c r="N29" s="12"/>
      <c r="O29" s="12"/>
      <c r="P29" s="12" t="n">
        <f aca="false">P28+N29</f>
        <v>5000</v>
      </c>
      <c r="Q29" s="12" t="n">
        <f aca="false">I29-P29</f>
        <v>114839</v>
      </c>
    </row>
    <row r="30" customFormat="false" ht="12.8" hidden="false" customHeight="false" outlineLevel="0" collapsed="false">
      <c r="A30" s="1" t="n">
        <v>45590</v>
      </c>
      <c r="C30" s="14"/>
      <c r="F30" s="12"/>
      <c r="G30" s="12" t="n">
        <f aca="false">SUM(E30:F30)</f>
        <v>0</v>
      </c>
      <c r="H30" s="12"/>
      <c r="I30" s="12" t="n">
        <f aca="false">I29+G30</f>
        <v>119839</v>
      </c>
      <c r="J30" s="1" t="n">
        <v>45590</v>
      </c>
      <c r="K30" s="2" t="s">
        <v>30</v>
      </c>
      <c r="L30" s="2" t="s">
        <v>31</v>
      </c>
      <c r="M30" s="2" t="n">
        <v>11</v>
      </c>
      <c r="N30" s="12" t="n">
        <v>500</v>
      </c>
      <c r="O30" s="37"/>
      <c r="P30" s="12" t="n">
        <f aca="false">P29+N30</f>
        <v>5500</v>
      </c>
      <c r="Q30" s="12" t="n">
        <f aca="false">I30-P30</f>
        <v>114339</v>
      </c>
    </row>
    <row r="31" customFormat="false" ht="12.8" hidden="false" customHeight="false" outlineLevel="0" collapsed="false">
      <c r="A31" s="1" t="n">
        <v>45591</v>
      </c>
      <c r="C31" s="14"/>
      <c r="F31" s="12"/>
      <c r="G31" s="12" t="n">
        <f aca="false">SUM(E31:F31)</f>
        <v>0</v>
      </c>
      <c r="H31" s="12"/>
      <c r="I31" s="12" t="n">
        <f aca="false">I30+G31</f>
        <v>119839</v>
      </c>
      <c r="J31" s="1" t="n">
        <v>45591</v>
      </c>
      <c r="L31" s="14"/>
      <c r="N31" s="12"/>
      <c r="O31" s="12"/>
      <c r="P31" s="12" t="n">
        <f aca="false">P30+N31</f>
        <v>5500</v>
      </c>
      <c r="Q31" s="12" t="n">
        <f aca="false">I31-P31</f>
        <v>114339</v>
      </c>
    </row>
    <row r="32" customFormat="false" ht="12.8" hidden="false" customHeight="false" outlineLevel="0" collapsed="false">
      <c r="A32" s="1" t="n">
        <v>45592</v>
      </c>
      <c r="C32" s="19"/>
      <c r="F32" s="12"/>
      <c r="G32" s="12" t="n">
        <f aca="false">SUM(E32:F32)</f>
        <v>0</v>
      </c>
      <c r="H32" s="12"/>
      <c r="I32" s="12" t="n">
        <f aca="false">I31+G32</f>
        <v>119839</v>
      </c>
      <c r="J32" s="1" t="n">
        <v>45592</v>
      </c>
      <c r="L32" s="19"/>
      <c r="N32" s="12"/>
      <c r="O32" s="12"/>
      <c r="P32" s="12" t="n">
        <f aca="false">P31+N32</f>
        <v>5500</v>
      </c>
      <c r="Q32" s="12" t="n">
        <f aca="false">I32-P32</f>
        <v>114339</v>
      </c>
    </row>
    <row r="33" customFormat="false" ht="12.8" hidden="false" customHeight="false" outlineLevel="0" collapsed="false">
      <c r="A33" s="1" t="n">
        <v>45593</v>
      </c>
      <c r="C33" s="19"/>
      <c r="F33" s="12"/>
      <c r="G33" s="12" t="n">
        <f aca="false">SUM(E33:F33)</f>
        <v>0</v>
      </c>
      <c r="H33" s="12"/>
      <c r="I33" s="12" t="n">
        <f aca="false">I32+G33</f>
        <v>119839</v>
      </c>
      <c r="J33" s="1" t="n">
        <v>45593</v>
      </c>
      <c r="L33" s="19"/>
      <c r="N33" s="12"/>
      <c r="O33" s="12"/>
      <c r="P33" s="12" t="n">
        <f aca="false">P32+N33</f>
        <v>5500</v>
      </c>
      <c r="Q33" s="12" t="n">
        <f aca="false">I33-P33</f>
        <v>114339</v>
      </c>
    </row>
    <row r="34" customFormat="false" ht="12.8" hidden="false" customHeight="false" outlineLevel="0" collapsed="false">
      <c r="A34" s="1" t="n">
        <v>45594</v>
      </c>
      <c r="F34" s="12"/>
      <c r="G34" s="12" t="n">
        <f aca="false">SUM(E34:F34)</f>
        <v>0</v>
      </c>
      <c r="H34" s="12"/>
      <c r="I34" s="12" t="n">
        <f aca="false">I33+G34</f>
        <v>119839</v>
      </c>
      <c r="J34" s="1" t="n">
        <v>45594</v>
      </c>
      <c r="N34" s="12"/>
      <c r="O34" s="12"/>
      <c r="P34" s="12" t="n">
        <f aca="false">P33+N34</f>
        <v>5500</v>
      </c>
      <c r="Q34" s="12" t="n">
        <f aca="false">I34-P34</f>
        <v>114339</v>
      </c>
    </row>
    <row r="35" customFormat="false" ht="12.8" hidden="false" customHeight="false" outlineLevel="0" collapsed="false">
      <c r="A35" s="1" t="n">
        <v>45595</v>
      </c>
      <c r="F35" s="12"/>
      <c r="G35" s="12" t="n">
        <f aca="false">SUM(E35:F35)</f>
        <v>0</v>
      </c>
      <c r="H35" s="12"/>
      <c r="I35" s="12" t="n">
        <f aca="false">I34+G35</f>
        <v>119839</v>
      </c>
      <c r="J35" s="1" t="n">
        <v>45595</v>
      </c>
      <c r="N35" s="12"/>
      <c r="O35" s="12"/>
      <c r="P35" s="12" t="n">
        <f aca="false">P34+N35</f>
        <v>5500</v>
      </c>
      <c r="Q35" s="12" t="n">
        <f aca="false">I35-P35</f>
        <v>114339</v>
      </c>
    </row>
    <row r="36" customFormat="false" ht="12.8" hidden="false" customHeight="false" outlineLevel="0" collapsed="false">
      <c r="A36" s="1" t="n">
        <v>45596</v>
      </c>
      <c r="F36" s="12"/>
      <c r="G36" s="12" t="n">
        <f aca="false">SUM(E36:F36)</f>
        <v>0</v>
      </c>
      <c r="H36" s="12"/>
      <c r="I36" s="12" t="n">
        <f aca="false">I35+G36</f>
        <v>119839</v>
      </c>
      <c r="J36" s="1" t="n">
        <v>45596</v>
      </c>
      <c r="N36" s="12"/>
      <c r="O36" s="12"/>
      <c r="P36" s="12" t="n">
        <f aca="false">P35+N36</f>
        <v>5500</v>
      </c>
      <c r="Q36" s="12" t="n">
        <f aca="false">I36-P36</f>
        <v>114339</v>
      </c>
    </row>
    <row r="37" customFormat="false" ht="12.8" hidden="false" customHeight="false" outlineLevel="0" collapsed="false">
      <c r="A37" s="1" t="n">
        <v>45596</v>
      </c>
      <c r="C37" s="19"/>
      <c r="F37" s="12"/>
      <c r="G37" s="12" t="n">
        <f aca="false">SUM(E37:F37)</f>
        <v>0</v>
      </c>
      <c r="H37" s="12"/>
      <c r="I37" s="12" t="n">
        <f aca="false">I36+G37</f>
        <v>119839</v>
      </c>
      <c r="J37" s="1" t="n">
        <v>45596</v>
      </c>
      <c r="K37" s="2" t="s">
        <v>19</v>
      </c>
      <c r="L37" s="2" t="s">
        <v>34</v>
      </c>
      <c r="N37" s="12" t="n">
        <f aca="false">Q36</f>
        <v>114339</v>
      </c>
      <c r="O37" s="12"/>
      <c r="P37" s="12" t="n">
        <f aca="false">P36+N37</f>
        <v>119839</v>
      </c>
      <c r="Q37" s="12" t="n">
        <f aca="false">I37-P37</f>
        <v>0</v>
      </c>
    </row>
    <row r="38" customFormat="false" ht="12.8" hidden="false" customHeight="false" outlineLevel="0" collapsed="false">
      <c r="F38" s="12"/>
      <c r="G38" s="12"/>
      <c r="H38" s="12"/>
      <c r="I38" s="12"/>
      <c r="N38" s="12"/>
      <c r="O38" s="12"/>
      <c r="P38" s="12"/>
      <c r="Q38" s="12"/>
    </row>
    <row r="39" customFormat="false" ht="12.8" hidden="false" customHeight="false" outlineLevel="0" collapsed="false">
      <c r="F39" s="12"/>
      <c r="G39" s="12"/>
      <c r="H39" s="3" t="n">
        <f aca="false">SUM(H6:H37)</f>
        <v>13266</v>
      </c>
      <c r="I39" s="12"/>
      <c r="N39" s="12"/>
      <c r="O39" s="3" t="n">
        <f aca="false">SUM(O6:O37)</f>
        <v>13266</v>
      </c>
      <c r="P39" s="12"/>
      <c r="Q39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1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J52" activeCellId="0" sqref="J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10.59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2.15"/>
    <col collapsed="false" customWidth="true" hidden="false" outlineLevel="0" max="15" min="15" style="3" width="10.59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Nov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45597</v>
      </c>
      <c r="B6" s="2" t="s">
        <v>19</v>
      </c>
      <c r="C6" s="2" t="s">
        <v>20</v>
      </c>
      <c r="F6" s="12" t="n">
        <f aca="false">Oct!N37</f>
        <v>114339</v>
      </c>
      <c r="G6" s="12" t="n">
        <f aca="false">Oct!N37</f>
        <v>114339</v>
      </c>
      <c r="H6" s="12"/>
      <c r="I6" s="12" t="n">
        <f aca="false">I5+G6</f>
        <v>114339</v>
      </c>
      <c r="J6" s="1" t="n">
        <v>45597</v>
      </c>
      <c r="N6" s="12"/>
      <c r="O6" s="12"/>
      <c r="P6" s="12" t="n">
        <f aca="false">P5+N6</f>
        <v>0</v>
      </c>
      <c r="Q6" s="12" t="n">
        <f aca="false">I6-P6</f>
        <v>114339</v>
      </c>
    </row>
    <row r="7" customFormat="false" ht="12.8" hidden="false" customHeight="false" outlineLevel="0" collapsed="false">
      <c r="A7" s="1" t="n">
        <v>45598</v>
      </c>
      <c r="C7" s="46"/>
      <c r="F7" s="12"/>
      <c r="G7" s="12" t="n">
        <f aca="false">SUM(E7:F7)</f>
        <v>0</v>
      </c>
      <c r="H7" s="12"/>
      <c r="I7" s="12" t="n">
        <f aca="false">I6+G7</f>
        <v>114339</v>
      </c>
      <c r="J7" s="1" t="n">
        <v>45598</v>
      </c>
      <c r="L7" s="22"/>
      <c r="O7" s="12"/>
      <c r="P7" s="12" t="n">
        <f aca="false">P6+N7</f>
        <v>0</v>
      </c>
      <c r="Q7" s="12" t="n">
        <f aca="false">I7-P7</f>
        <v>114339</v>
      </c>
    </row>
    <row r="8" customFormat="false" ht="12.8" hidden="false" customHeight="false" outlineLevel="0" collapsed="false">
      <c r="A8" s="1" t="n">
        <v>45599</v>
      </c>
      <c r="C8" s="31"/>
      <c r="F8" s="12"/>
      <c r="G8" s="12" t="n">
        <f aca="false">SUM(E8:F8)</f>
        <v>0</v>
      </c>
      <c r="H8" s="12"/>
      <c r="I8" s="12" t="n">
        <f aca="false">I7+G8</f>
        <v>114339</v>
      </c>
      <c r="J8" s="1" t="n">
        <v>45599</v>
      </c>
      <c r="N8" s="12"/>
      <c r="O8" s="12"/>
      <c r="P8" s="12" t="n">
        <f aca="false">P7+N8</f>
        <v>0</v>
      </c>
      <c r="Q8" s="12" t="n">
        <f aca="false">I8-P8</f>
        <v>114339</v>
      </c>
    </row>
    <row r="9" customFormat="false" ht="12.8" hidden="false" customHeight="false" outlineLevel="0" collapsed="false">
      <c r="A9" s="1" t="n">
        <v>45600</v>
      </c>
      <c r="F9" s="12"/>
      <c r="G9" s="12" t="n">
        <f aca="false">SUM(E9:F9)</f>
        <v>0</v>
      </c>
      <c r="H9" s="12"/>
      <c r="I9" s="12" t="n">
        <f aca="false">I8+G9</f>
        <v>114339</v>
      </c>
      <c r="J9" s="1" t="n">
        <v>45600</v>
      </c>
      <c r="K9" s="2" t="s">
        <v>22</v>
      </c>
      <c r="L9" s="2" t="s">
        <v>23</v>
      </c>
      <c r="M9" s="2" t="n">
        <v>9</v>
      </c>
      <c r="N9" s="12" t="n">
        <v>3000</v>
      </c>
      <c r="O9" s="12"/>
      <c r="P9" s="12" t="n">
        <f aca="false">P8+N9</f>
        <v>3000</v>
      </c>
      <c r="Q9" s="12" t="n">
        <f aca="false">I9-P9</f>
        <v>111339</v>
      </c>
    </row>
    <row r="10" customFormat="false" ht="12.8" hidden="false" customHeight="false" outlineLevel="0" collapsed="false">
      <c r="A10" s="1" t="n">
        <v>45601</v>
      </c>
      <c r="C10" s="14"/>
      <c r="F10" s="12"/>
      <c r="G10" s="12" t="n">
        <f aca="false">SUM(E10:F10)</f>
        <v>0</v>
      </c>
      <c r="H10" s="12"/>
      <c r="I10" s="12" t="n">
        <f aca="false">I9+G10</f>
        <v>114339</v>
      </c>
      <c r="J10" s="1" t="n">
        <v>45601</v>
      </c>
      <c r="K10" s="2" t="s">
        <v>30</v>
      </c>
      <c r="L10" s="2" t="s">
        <v>31</v>
      </c>
      <c r="M10" s="2" t="n">
        <v>11</v>
      </c>
      <c r="N10" s="12" t="n">
        <v>500</v>
      </c>
      <c r="O10" s="37"/>
      <c r="P10" s="12" t="n">
        <f aca="false">P9+N10</f>
        <v>3500</v>
      </c>
      <c r="Q10" s="12" t="n">
        <f aca="false">I10-P10</f>
        <v>110839</v>
      </c>
    </row>
    <row r="11" customFormat="false" ht="12.8" hidden="false" customHeight="false" outlineLevel="0" collapsed="false">
      <c r="A11" s="1" t="n">
        <v>45602</v>
      </c>
      <c r="C11" s="14"/>
      <c r="F11" s="12"/>
      <c r="G11" s="12" t="n">
        <f aca="false">SUM(E11:F11)</f>
        <v>0</v>
      </c>
      <c r="H11" s="12"/>
      <c r="I11" s="12" t="n">
        <f aca="false">I10+G11</f>
        <v>114339</v>
      </c>
      <c r="J11" s="1" t="n">
        <v>45602</v>
      </c>
      <c r="L11" s="14"/>
      <c r="N11" s="12"/>
      <c r="O11" s="12"/>
      <c r="P11" s="12" t="n">
        <f aca="false">P10+N11</f>
        <v>3500</v>
      </c>
      <c r="Q11" s="12" t="n">
        <f aca="false">I11-P11</f>
        <v>110839</v>
      </c>
    </row>
    <row r="12" customFormat="false" ht="47.75" hidden="false" customHeight="false" outlineLevel="0" collapsed="false">
      <c r="A12" s="1" t="n">
        <v>45603</v>
      </c>
      <c r="B12" s="2" t="s">
        <v>28</v>
      </c>
      <c r="C12" s="16" t="s">
        <v>53</v>
      </c>
      <c r="F12" s="12"/>
      <c r="G12" s="12" t="n">
        <f aca="false">SUM(E12:F12)</f>
        <v>0</v>
      </c>
      <c r="H12" s="12" t="n">
        <v>300</v>
      </c>
      <c r="I12" s="12" t="n">
        <f aca="false">I11+G12</f>
        <v>114339</v>
      </c>
      <c r="J12" s="1" t="n">
        <v>45603</v>
      </c>
      <c r="K12" s="2" t="s">
        <v>26</v>
      </c>
      <c r="L12" s="16" t="s">
        <v>53</v>
      </c>
      <c r="N12" s="12"/>
      <c r="O12" s="12" t="n">
        <v>300</v>
      </c>
      <c r="P12" s="12" t="n">
        <f aca="false">P11+N12</f>
        <v>3500</v>
      </c>
      <c r="Q12" s="12" t="n">
        <f aca="false">I12-P12</f>
        <v>110839</v>
      </c>
    </row>
    <row r="13" customFormat="false" ht="12.8" hidden="false" customHeight="false" outlineLevel="0" collapsed="false">
      <c r="A13" s="1" t="n">
        <v>45604</v>
      </c>
      <c r="F13" s="12"/>
      <c r="G13" s="12" t="n">
        <f aca="false">SUM(E13:F13)</f>
        <v>0</v>
      </c>
      <c r="H13" s="12"/>
      <c r="I13" s="12" t="n">
        <f aca="false">I12+G13</f>
        <v>114339</v>
      </c>
      <c r="J13" s="1" t="n">
        <v>45604</v>
      </c>
      <c r="O13" s="12"/>
      <c r="P13" s="12" t="n">
        <f aca="false">P12+N13</f>
        <v>3500</v>
      </c>
      <c r="Q13" s="12" t="n">
        <f aca="false">I13-P13</f>
        <v>110839</v>
      </c>
    </row>
    <row r="14" customFormat="false" ht="12.8" hidden="false" customHeight="false" outlineLevel="0" collapsed="false">
      <c r="A14" s="1" t="n">
        <v>45605</v>
      </c>
      <c r="F14" s="12"/>
      <c r="G14" s="12" t="n">
        <f aca="false">SUM(E14:F14)</f>
        <v>0</v>
      </c>
      <c r="H14" s="12"/>
      <c r="I14" s="12" t="n">
        <f aca="false">I13+G14</f>
        <v>114339</v>
      </c>
      <c r="J14" s="1" t="n">
        <v>45605</v>
      </c>
      <c r="N14" s="12"/>
      <c r="O14" s="12"/>
      <c r="P14" s="12" t="n">
        <f aca="false">P13+N14</f>
        <v>3500</v>
      </c>
      <c r="Q14" s="12" t="n">
        <f aca="false">I14-P14</f>
        <v>110839</v>
      </c>
    </row>
    <row r="15" customFormat="false" ht="12.8" hidden="false" customHeight="false" outlineLevel="0" collapsed="false">
      <c r="A15" s="1" t="n">
        <v>45606</v>
      </c>
      <c r="F15" s="12"/>
      <c r="G15" s="12" t="n">
        <f aca="false">SUM(E15:F15)</f>
        <v>0</v>
      </c>
      <c r="H15" s="12"/>
      <c r="I15" s="12" t="n">
        <f aca="false">I14+G15</f>
        <v>114339</v>
      </c>
      <c r="J15" s="1" t="n">
        <v>45606</v>
      </c>
      <c r="N15" s="12"/>
      <c r="O15" s="12"/>
      <c r="P15" s="12" t="n">
        <f aca="false">P14+N15</f>
        <v>3500</v>
      </c>
      <c r="Q15" s="12" t="n">
        <f aca="false">I15-P15</f>
        <v>110839</v>
      </c>
    </row>
    <row r="16" customFormat="false" ht="12.8" hidden="false" customHeight="false" outlineLevel="0" collapsed="false">
      <c r="A16" s="1" t="n">
        <v>45607</v>
      </c>
      <c r="F16" s="12"/>
      <c r="G16" s="12" t="n">
        <f aca="false">SUM(E16:F16)</f>
        <v>0</v>
      </c>
      <c r="H16" s="12"/>
      <c r="I16" s="12" t="n">
        <f aca="false">I15+G16</f>
        <v>114339</v>
      </c>
      <c r="J16" s="1" t="n">
        <v>45607</v>
      </c>
      <c r="N16" s="12"/>
      <c r="O16" s="12"/>
      <c r="P16" s="12" t="n">
        <f aca="false">P15+N16</f>
        <v>3500</v>
      </c>
      <c r="Q16" s="12" t="n">
        <f aca="false">I16-P16</f>
        <v>110839</v>
      </c>
    </row>
    <row r="17" customFormat="false" ht="12.8" hidden="false" customHeight="false" outlineLevel="0" collapsed="false">
      <c r="A17" s="1" t="n">
        <v>45608</v>
      </c>
      <c r="F17" s="12"/>
      <c r="G17" s="12" t="n">
        <f aca="false">SUM(E17:F17)</f>
        <v>0</v>
      </c>
      <c r="H17" s="12"/>
      <c r="I17" s="12" t="n">
        <f aca="false">I16+G17</f>
        <v>114339</v>
      </c>
      <c r="J17" s="1" t="n">
        <v>45608</v>
      </c>
      <c r="N17" s="12"/>
      <c r="O17" s="12"/>
      <c r="P17" s="12" t="n">
        <f aca="false">P16+N17</f>
        <v>3500</v>
      </c>
      <c r="Q17" s="12" t="n">
        <f aca="false">I17-P17</f>
        <v>110839</v>
      </c>
    </row>
    <row r="18" customFormat="false" ht="12.8" hidden="false" customHeight="false" outlineLevel="0" collapsed="false">
      <c r="A18" s="1" t="n">
        <v>45609</v>
      </c>
      <c r="F18" s="12"/>
      <c r="G18" s="12" t="n">
        <f aca="false">SUM(E18:F18)</f>
        <v>0</v>
      </c>
      <c r="H18" s="12"/>
      <c r="I18" s="12" t="n">
        <f aca="false">I17+G18</f>
        <v>114339</v>
      </c>
      <c r="J18" s="1" t="n">
        <v>45609</v>
      </c>
      <c r="N18" s="12"/>
      <c r="O18" s="12"/>
      <c r="P18" s="12" t="n">
        <f aca="false">P17+N18</f>
        <v>3500</v>
      </c>
      <c r="Q18" s="12" t="n">
        <f aca="false">I18-P18</f>
        <v>110839</v>
      </c>
    </row>
    <row r="19" customFormat="false" ht="12.8" hidden="false" customHeight="false" outlineLevel="0" collapsed="false">
      <c r="A19" s="1" t="n">
        <v>45610</v>
      </c>
      <c r="F19" s="12"/>
      <c r="G19" s="12" t="n">
        <f aca="false">SUM(E19:F19)</f>
        <v>0</v>
      </c>
      <c r="H19" s="12"/>
      <c r="I19" s="12" t="n">
        <f aca="false">I18+G19</f>
        <v>114339</v>
      </c>
      <c r="J19" s="1" t="n">
        <v>45610</v>
      </c>
      <c r="N19" s="12"/>
      <c r="O19" s="12"/>
      <c r="P19" s="12" t="n">
        <f aca="false">P18+N19</f>
        <v>3500</v>
      </c>
      <c r="Q19" s="12" t="n">
        <f aca="false">I19-P19</f>
        <v>110839</v>
      </c>
    </row>
    <row r="20" customFormat="false" ht="12.8" hidden="false" customHeight="false" outlineLevel="0" collapsed="false">
      <c r="A20" s="1" t="n">
        <v>45611</v>
      </c>
      <c r="F20" s="12"/>
      <c r="G20" s="12" t="n">
        <f aca="false">SUM(E20:F20)</f>
        <v>0</v>
      </c>
      <c r="H20" s="12"/>
      <c r="I20" s="12" t="n">
        <f aca="false">I19+G20</f>
        <v>114339</v>
      </c>
      <c r="J20" s="1" t="n">
        <v>45611</v>
      </c>
      <c r="N20" s="12"/>
      <c r="O20" s="12"/>
      <c r="P20" s="12" t="n">
        <f aca="false">P19+N20</f>
        <v>3500</v>
      </c>
      <c r="Q20" s="12" t="n">
        <f aca="false">I20-P20</f>
        <v>110839</v>
      </c>
    </row>
    <row r="21" customFormat="false" ht="12.8" hidden="false" customHeight="false" outlineLevel="0" collapsed="false">
      <c r="A21" s="1" t="n">
        <v>45612</v>
      </c>
      <c r="F21" s="12"/>
      <c r="G21" s="12" t="n">
        <f aca="false">SUM(E21:F21)</f>
        <v>0</v>
      </c>
      <c r="H21" s="12"/>
      <c r="I21" s="12" t="n">
        <f aca="false">I20+G21</f>
        <v>114339</v>
      </c>
      <c r="J21" s="1" t="n">
        <v>45612</v>
      </c>
      <c r="N21" s="12"/>
      <c r="O21" s="12"/>
      <c r="P21" s="12" t="n">
        <f aca="false">P20+N21</f>
        <v>3500</v>
      </c>
      <c r="Q21" s="12" t="n">
        <f aca="false">I21-P21</f>
        <v>110839</v>
      </c>
    </row>
    <row r="22" customFormat="false" ht="12.8" hidden="false" customHeight="false" outlineLevel="0" collapsed="false">
      <c r="A22" s="1" t="n">
        <v>45613</v>
      </c>
      <c r="F22" s="12"/>
      <c r="G22" s="12" t="n">
        <f aca="false">SUM(E22:F22)</f>
        <v>0</v>
      </c>
      <c r="H22" s="12"/>
      <c r="I22" s="12" t="n">
        <f aca="false">I21+G22</f>
        <v>114339</v>
      </c>
      <c r="J22" s="1" t="n">
        <v>45613</v>
      </c>
      <c r="K22" s="2" t="s">
        <v>22</v>
      </c>
      <c r="L22" s="2" t="s">
        <v>32</v>
      </c>
      <c r="M22" s="2" t="n">
        <v>9</v>
      </c>
      <c r="N22" s="12" t="n">
        <v>3000</v>
      </c>
      <c r="O22" s="12"/>
      <c r="P22" s="12" t="n">
        <f aca="false">P21+N22</f>
        <v>6500</v>
      </c>
      <c r="Q22" s="12" t="n">
        <f aca="false">I22-P22</f>
        <v>107839</v>
      </c>
    </row>
    <row r="23" customFormat="false" ht="12.8" hidden="false" customHeight="false" outlineLevel="0" collapsed="false">
      <c r="A23" s="1" t="n">
        <v>45614</v>
      </c>
      <c r="B23" s="47"/>
      <c r="C23" s="19"/>
      <c r="D23" s="2" t="n">
        <v>5</v>
      </c>
      <c r="F23" s="12"/>
      <c r="G23" s="12" t="n">
        <f aca="false">SUM(E23:F23)</f>
        <v>0</v>
      </c>
      <c r="H23" s="12"/>
      <c r="I23" s="12" t="n">
        <f aca="false">I22+G23</f>
        <v>114339</v>
      </c>
      <c r="J23" s="1" t="n">
        <v>45614</v>
      </c>
      <c r="K23" s="2" t="s">
        <v>26</v>
      </c>
      <c r="L23" s="19"/>
      <c r="O23" s="12"/>
      <c r="P23" s="12" t="n">
        <f aca="false">P22+N23</f>
        <v>6500</v>
      </c>
      <c r="Q23" s="12" t="n">
        <f aca="false">I23-P23</f>
        <v>107839</v>
      </c>
    </row>
    <row r="24" customFormat="false" ht="12.8" hidden="false" customHeight="false" outlineLevel="0" collapsed="false">
      <c r="A24" s="1" t="n">
        <v>45615</v>
      </c>
      <c r="C24" s="19"/>
      <c r="F24" s="12"/>
      <c r="G24" s="12" t="n">
        <f aca="false">SUM(E24:F24)</f>
        <v>0</v>
      </c>
      <c r="H24" s="12"/>
      <c r="I24" s="12" t="n">
        <f aca="false">I23+G24</f>
        <v>114339</v>
      </c>
      <c r="J24" s="1" t="n">
        <v>45615</v>
      </c>
      <c r="K24" s="2" t="s">
        <v>38</v>
      </c>
      <c r="N24" s="12"/>
      <c r="O24" s="12"/>
      <c r="P24" s="12" t="n">
        <f aca="false">P23+N24</f>
        <v>6500</v>
      </c>
      <c r="Q24" s="12" t="n">
        <f aca="false">I24-P24</f>
        <v>107839</v>
      </c>
    </row>
    <row r="25" customFormat="false" ht="12.8" hidden="false" customHeight="false" outlineLevel="0" collapsed="false">
      <c r="A25" s="1" t="n">
        <v>45616</v>
      </c>
      <c r="F25" s="12"/>
      <c r="G25" s="12" t="n">
        <f aca="false">SUM(E25:F25)</f>
        <v>0</v>
      </c>
      <c r="H25" s="12"/>
      <c r="I25" s="12" t="n">
        <f aca="false">I24+G25</f>
        <v>114339</v>
      </c>
      <c r="J25" s="1" t="n">
        <v>45616</v>
      </c>
      <c r="N25" s="12"/>
      <c r="O25" s="12"/>
      <c r="P25" s="12" t="n">
        <f aca="false">P24+N25</f>
        <v>6500</v>
      </c>
      <c r="Q25" s="12" t="n">
        <f aca="false">I25-P25</f>
        <v>107839</v>
      </c>
    </row>
    <row r="26" customFormat="false" ht="12.8" hidden="false" customHeight="false" outlineLevel="0" collapsed="false">
      <c r="A26" s="1" t="n">
        <v>45617</v>
      </c>
      <c r="C26" s="34"/>
      <c r="F26" s="12"/>
      <c r="G26" s="12" t="n">
        <f aca="false">SUM(E26:F26)</f>
        <v>0</v>
      </c>
      <c r="H26" s="12"/>
      <c r="I26" s="12" t="n">
        <f aca="false">I25+G26</f>
        <v>114339</v>
      </c>
      <c r="J26" s="1" t="n">
        <v>45617</v>
      </c>
      <c r="L26" s="39"/>
      <c r="N26" s="12"/>
      <c r="O26" s="12"/>
      <c r="P26" s="12" t="n">
        <f aca="false">P25+N26</f>
        <v>6500</v>
      </c>
      <c r="Q26" s="12" t="n">
        <f aca="false">I26-P26</f>
        <v>107839</v>
      </c>
    </row>
    <row r="27" customFormat="false" ht="12.8" hidden="false" customHeight="false" outlineLevel="0" collapsed="false">
      <c r="A27" s="1" t="n">
        <v>45618</v>
      </c>
      <c r="F27" s="12"/>
      <c r="G27" s="12" t="n">
        <f aca="false">SUM(E27:F27)</f>
        <v>0</v>
      </c>
      <c r="H27" s="12"/>
      <c r="I27" s="12" t="n">
        <f aca="false">I26+G27</f>
        <v>114339</v>
      </c>
      <c r="J27" s="1" t="n">
        <v>45618</v>
      </c>
      <c r="L27" s="2" t="s">
        <v>21</v>
      </c>
      <c r="N27" s="12"/>
      <c r="O27" s="12"/>
      <c r="P27" s="12" t="n">
        <f aca="false">P26+N27</f>
        <v>6500</v>
      </c>
      <c r="Q27" s="12" t="n">
        <f aca="false">I27-P27</f>
        <v>107839</v>
      </c>
    </row>
    <row r="28" customFormat="false" ht="12.8" hidden="false" customHeight="false" outlineLevel="0" collapsed="false">
      <c r="A28" s="1" t="n">
        <v>45619</v>
      </c>
      <c r="C28" s="34"/>
      <c r="F28" s="12"/>
      <c r="G28" s="12" t="n">
        <f aca="false">SUM(E28:F28)</f>
        <v>0</v>
      </c>
      <c r="H28" s="12"/>
      <c r="I28" s="12" t="n">
        <f aca="false">I27+G28</f>
        <v>114339</v>
      </c>
      <c r="J28" s="1" t="n">
        <v>45619</v>
      </c>
      <c r="L28" s="39"/>
      <c r="N28" s="12"/>
      <c r="O28" s="12"/>
      <c r="P28" s="12" t="n">
        <f aca="false">P27+N28</f>
        <v>6500</v>
      </c>
      <c r="Q28" s="12" t="n">
        <f aca="false">I28-P28</f>
        <v>107839</v>
      </c>
    </row>
    <row r="29" customFormat="false" ht="12.8" hidden="false" customHeight="false" outlineLevel="0" collapsed="false">
      <c r="A29" s="1" t="n">
        <v>45620</v>
      </c>
      <c r="F29" s="12"/>
      <c r="G29" s="12" t="n">
        <f aca="false">SUM(E29:F29)</f>
        <v>0</v>
      </c>
      <c r="H29" s="12"/>
      <c r="I29" s="12" t="n">
        <f aca="false">I28+G29</f>
        <v>114339</v>
      </c>
      <c r="J29" s="1" t="n">
        <v>45620</v>
      </c>
      <c r="L29" s="2" t="s">
        <v>21</v>
      </c>
      <c r="N29" s="12"/>
      <c r="O29" s="12"/>
      <c r="P29" s="12" t="n">
        <f aca="false">P28+N29</f>
        <v>6500</v>
      </c>
      <c r="Q29" s="12" t="n">
        <f aca="false">I29-P29</f>
        <v>107839</v>
      </c>
    </row>
    <row r="30" customFormat="false" ht="36.45" hidden="false" customHeight="false" outlineLevel="0" collapsed="false">
      <c r="A30" s="1" t="n">
        <v>45621</v>
      </c>
      <c r="B30" s="2" t="s">
        <v>28</v>
      </c>
      <c r="C30" s="16" t="s">
        <v>54</v>
      </c>
      <c r="F30" s="12"/>
      <c r="G30" s="12" t="n">
        <f aca="false">SUM(E30:F30)</f>
        <v>0</v>
      </c>
      <c r="H30" s="12" t="n">
        <f aca="false">6840*1.1</f>
        <v>7524</v>
      </c>
      <c r="I30" s="12" t="n">
        <f aca="false">I29+G30</f>
        <v>114339</v>
      </c>
      <c r="J30" s="1" t="n">
        <v>45621</v>
      </c>
      <c r="K30" s="2" t="s">
        <v>26</v>
      </c>
      <c r="L30" s="16" t="s">
        <v>54</v>
      </c>
      <c r="N30" s="12"/>
      <c r="O30" s="12" t="n">
        <v>6840</v>
      </c>
      <c r="P30" s="12" t="n">
        <f aca="false">P29+N30</f>
        <v>6500</v>
      </c>
      <c r="Q30" s="12" t="n">
        <f aca="false">I30-P30</f>
        <v>107839</v>
      </c>
    </row>
    <row r="31" customFormat="false" ht="12.8" hidden="false" customHeight="false" outlineLevel="0" collapsed="false">
      <c r="A31" s="1" t="n">
        <v>45621</v>
      </c>
      <c r="C31" s="16"/>
      <c r="F31" s="12"/>
      <c r="G31" s="12" t="n">
        <f aca="false">SUM(E31:F31)</f>
        <v>0</v>
      </c>
      <c r="H31" s="12"/>
      <c r="I31" s="12" t="n">
        <f aca="false">I30+G31</f>
        <v>114339</v>
      </c>
      <c r="J31" s="1" t="n">
        <v>45621</v>
      </c>
      <c r="K31" s="2" t="s">
        <v>38</v>
      </c>
      <c r="N31" s="12"/>
      <c r="O31" s="12" t="n">
        <v>684</v>
      </c>
      <c r="P31" s="12" t="n">
        <f aca="false">P30+N31</f>
        <v>6500</v>
      </c>
      <c r="Q31" s="12" t="n">
        <f aca="false">I31-P31</f>
        <v>107839</v>
      </c>
    </row>
    <row r="32" customFormat="false" ht="24.85" hidden="false" customHeight="false" outlineLevel="0" collapsed="false">
      <c r="A32" s="1" t="n">
        <v>45622</v>
      </c>
      <c r="B32" s="2" t="s">
        <v>28</v>
      </c>
      <c r="C32" s="16" t="s">
        <v>55</v>
      </c>
      <c r="F32" s="12"/>
      <c r="G32" s="12" t="n">
        <f aca="false">SUM(E32:F32)</f>
        <v>0</v>
      </c>
      <c r="H32" s="12" t="n">
        <f aca="false">4140*1.1</f>
        <v>4554</v>
      </c>
      <c r="I32" s="12" t="n">
        <f aca="false">I31+G32</f>
        <v>114339</v>
      </c>
      <c r="J32" s="1" t="n">
        <v>45622</v>
      </c>
      <c r="K32" s="2" t="s">
        <v>26</v>
      </c>
      <c r="L32" s="16" t="s">
        <v>55</v>
      </c>
      <c r="N32" s="12"/>
      <c r="O32" s="12" t="n">
        <v>4140</v>
      </c>
      <c r="P32" s="12" t="n">
        <f aca="false">P31+N32</f>
        <v>6500</v>
      </c>
      <c r="Q32" s="12" t="n">
        <f aca="false">I32-P32</f>
        <v>107839</v>
      </c>
    </row>
    <row r="33" customFormat="false" ht="12.8" hidden="false" customHeight="false" outlineLevel="0" collapsed="false">
      <c r="A33" s="1" t="n">
        <v>45622</v>
      </c>
      <c r="C33" s="16"/>
      <c r="F33" s="12"/>
      <c r="G33" s="12" t="n">
        <f aca="false">SUM(E33:F33)</f>
        <v>0</v>
      </c>
      <c r="H33" s="12"/>
      <c r="I33" s="12" t="n">
        <f aca="false">I32+G33</f>
        <v>114339</v>
      </c>
      <c r="J33" s="1" t="n">
        <v>45622</v>
      </c>
      <c r="K33" s="2" t="s">
        <v>38</v>
      </c>
      <c r="L33" s="16"/>
      <c r="N33" s="12"/>
      <c r="O33" s="12" t="n">
        <v>414</v>
      </c>
      <c r="P33" s="12" t="n">
        <f aca="false">P32+N33</f>
        <v>6500</v>
      </c>
      <c r="Q33" s="12" t="n">
        <f aca="false">I33-P33</f>
        <v>107839</v>
      </c>
    </row>
    <row r="34" customFormat="false" ht="24.85" hidden="false" customHeight="false" outlineLevel="0" collapsed="false">
      <c r="A34" s="1" t="n">
        <v>45622</v>
      </c>
      <c r="B34" s="2" t="s">
        <v>28</v>
      </c>
      <c r="C34" s="16" t="s">
        <v>56</v>
      </c>
      <c r="G34" s="12" t="n">
        <f aca="false">SUM(E34:F34)</f>
        <v>0</v>
      </c>
      <c r="H34" s="12" t="n">
        <f aca="false">4410*1.1</f>
        <v>4851</v>
      </c>
      <c r="I34" s="12" t="n">
        <f aca="false">I33+G34</f>
        <v>114339</v>
      </c>
      <c r="J34" s="1" t="n">
        <v>45622</v>
      </c>
      <c r="K34" s="2" t="s">
        <v>26</v>
      </c>
      <c r="L34" s="16" t="s">
        <v>56</v>
      </c>
      <c r="N34" s="12"/>
      <c r="O34" s="12" t="n">
        <v>4410</v>
      </c>
      <c r="P34" s="12" t="n">
        <f aca="false">P33+N34</f>
        <v>6500</v>
      </c>
      <c r="Q34" s="12" t="n">
        <f aca="false">I34-P34</f>
        <v>107839</v>
      </c>
    </row>
    <row r="35" customFormat="false" ht="12.8" hidden="false" customHeight="false" outlineLevel="0" collapsed="false">
      <c r="A35" s="1" t="n">
        <v>45622</v>
      </c>
      <c r="G35" s="12" t="n">
        <f aca="false">SUM(E35:F35)</f>
        <v>0</v>
      </c>
      <c r="H35" s="3" t="n">
        <f aca="false">5400*1.1</f>
        <v>5940</v>
      </c>
      <c r="I35" s="12" t="n">
        <f aca="false">I34+G35</f>
        <v>114339</v>
      </c>
      <c r="J35" s="1" t="n">
        <v>45622</v>
      </c>
      <c r="K35" s="2" t="s">
        <v>38</v>
      </c>
      <c r="N35" s="12"/>
      <c r="O35" s="12" t="n">
        <v>441</v>
      </c>
      <c r="P35" s="12" t="n">
        <f aca="false">P34+N35</f>
        <v>6500</v>
      </c>
      <c r="Q35" s="12" t="n">
        <f aca="false">I35-P35</f>
        <v>107839</v>
      </c>
    </row>
    <row r="36" customFormat="false" ht="24.85" hidden="false" customHeight="false" outlineLevel="0" collapsed="false">
      <c r="A36" s="1" t="n">
        <v>45625</v>
      </c>
      <c r="B36" s="2" t="s">
        <v>28</v>
      </c>
      <c r="C36" s="16" t="s">
        <v>57</v>
      </c>
      <c r="G36" s="12" t="n">
        <f aca="false">SUM(E36:F36)</f>
        <v>0</v>
      </c>
      <c r="I36" s="12" t="n">
        <f aca="false">I35+G36</f>
        <v>114339</v>
      </c>
      <c r="J36" s="1" t="n">
        <v>45625</v>
      </c>
      <c r="K36" s="2" t="s">
        <v>26</v>
      </c>
      <c r="L36" s="16" t="s">
        <v>57</v>
      </c>
      <c r="O36" s="3" t="n">
        <v>5400</v>
      </c>
      <c r="P36" s="12" t="n">
        <f aca="false">P35+N36</f>
        <v>6500</v>
      </c>
      <c r="Q36" s="12" t="n">
        <f aca="false">I36-P36</f>
        <v>107839</v>
      </c>
    </row>
    <row r="37" customFormat="false" ht="13.8" hidden="false" customHeight="false" outlineLevel="0" collapsed="false">
      <c r="A37" s="1" t="n">
        <v>45625</v>
      </c>
      <c r="D37" s="20"/>
      <c r="G37" s="12" t="n">
        <f aca="false">SUM(E37:F37)</f>
        <v>0</v>
      </c>
      <c r="H37" s="41"/>
      <c r="I37" s="12" t="n">
        <f aca="false">I36+G37</f>
        <v>114339</v>
      </c>
      <c r="J37" s="1" t="n">
        <v>45625</v>
      </c>
      <c r="K37" s="2" t="s">
        <v>38</v>
      </c>
      <c r="O37" s="3" t="n">
        <v>540</v>
      </c>
      <c r="P37" s="12" t="n">
        <f aca="false">P36+N37</f>
        <v>6500</v>
      </c>
      <c r="Q37" s="12" t="n">
        <f aca="false">I37-P37</f>
        <v>107839</v>
      </c>
    </row>
    <row r="38" customFormat="false" ht="13.8" hidden="false" customHeight="false" outlineLevel="0" collapsed="false">
      <c r="A38" s="1" t="n">
        <v>45626</v>
      </c>
      <c r="C38" s="19"/>
      <c r="D38" s="48"/>
      <c r="G38" s="12" t="n">
        <f aca="false">SUM(E38:F38)</f>
        <v>0</v>
      </c>
      <c r="H38" s="41"/>
      <c r="I38" s="12" t="n">
        <f aca="false">I37+G38</f>
        <v>114339</v>
      </c>
      <c r="J38" s="1" t="n">
        <v>45626</v>
      </c>
      <c r="L38" s="19"/>
      <c r="N38" s="12"/>
      <c r="O38" s="12"/>
      <c r="P38" s="12" t="n">
        <f aca="false">P37+N38</f>
        <v>6500</v>
      </c>
      <c r="Q38" s="12" t="n">
        <f aca="false">I38-P38</f>
        <v>107839</v>
      </c>
    </row>
    <row r="39" customFormat="false" ht="13.8" hidden="false" customHeight="false" outlineLevel="0" collapsed="false">
      <c r="A39" s="1" t="n">
        <v>45626</v>
      </c>
      <c r="C39" s="19"/>
      <c r="G39" s="12" t="n">
        <f aca="false">SUM(E39:F39)</f>
        <v>0</v>
      </c>
      <c r="I39" s="12" t="n">
        <f aca="false">I38+G39</f>
        <v>114339</v>
      </c>
      <c r="J39" s="1" t="n">
        <v>45626</v>
      </c>
      <c r="L39" s="21"/>
      <c r="N39" s="12"/>
      <c r="O39" s="12"/>
      <c r="P39" s="12" t="n">
        <f aca="false">P38+N39</f>
        <v>6500</v>
      </c>
      <c r="Q39" s="12" t="n">
        <f aca="false">I39-P39</f>
        <v>107839</v>
      </c>
    </row>
    <row r="40" customFormat="false" ht="12.8" hidden="false" customHeight="false" outlineLevel="0" collapsed="false">
      <c r="A40" s="1" t="n">
        <v>45626</v>
      </c>
      <c r="G40" s="12" t="n">
        <f aca="false">SUM(E40:F40)</f>
        <v>0</v>
      </c>
      <c r="I40" s="12" t="n">
        <f aca="false">I39+G40</f>
        <v>114339</v>
      </c>
      <c r="J40" s="1" t="n">
        <v>45626</v>
      </c>
      <c r="K40" s="2" t="s">
        <v>19</v>
      </c>
      <c r="L40" s="2" t="s">
        <v>34</v>
      </c>
      <c r="N40" s="3" t="n">
        <f aca="false">Q39</f>
        <v>107839</v>
      </c>
      <c r="P40" s="12" t="n">
        <f aca="false">P39+N40</f>
        <v>114339</v>
      </c>
      <c r="Q40" s="12" t="n">
        <f aca="false">I40-P40</f>
        <v>0</v>
      </c>
    </row>
    <row r="41" customFormat="false" ht="12.8" hidden="false" customHeight="false" outlineLevel="0" collapsed="false">
      <c r="H41" s="3" t="n">
        <f aca="false">SUM(H6:H39)</f>
        <v>23169</v>
      </c>
      <c r="O41" s="3" t="n">
        <f aca="false">SUM(O6:O39)</f>
        <v>23169</v>
      </c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L34" activeCellId="0" sqref="L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7.96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7.96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Dec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45627</v>
      </c>
      <c r="B6" s="2" t="s">
        <v>19</v>
      </c>
      <c r="C6" s="2" t="s">
        <v>20</v>
      </c>
      <c r="F6" s="12" t="n">
        <f aca="false">Nov!N40</f>
        <v>107839</v>
      </c>
      <c r="G6" s="12" t="n">
        <f aca="false">Nov!N40</f>
        <v>107839</v>
      </c>
      <c r="H6" s="12"/>
      <c r="I6" s="12" t="n">
        <f aca="false">I5+G6</f>
        <v>107839</v>
      </c>
      <c r="J6" s="1" t="n">
        <v>45627</v>
      </c>
      <c r="N6" s="12"/>
      <c r="O6" s="12"/>
      <c r="P6" s="12" t="n">
        <f aca="false">P5+N6</f>
        <v>0</v>
      </c>
      <c r="Q6" s="12" t="n">
        <f aca="false">I6-P6</f>
        <v>107839</v>
      </c>
    </row>
    <row r="7" customFormat="false" ht="12.8" hidden="false" customHeight="false" outlineLevel="0" collapsed="false">
      <c r="A7" s="1" t="n">
        <v>45628</v>
      </c>
      <c r="C7" s="31"/>
      <c r="F7" s="12"/>
      <c r="G7" s="12" t="n">
        <f aca="false">SUM(E7:F7)</f>
        <v>0</v>
      </c>
      <c r="H7" s="12"/>
      <c r="I7" s="12" t="n">
        <f aca="false">I6+G7</f>
        <v>107839</v>
      </c>
      <c r="J7" s="1" t="n">
        <v>45628</v>
      </c>
      <c r="K7" s="2" t="s">
        <v>22</v>
      </c>
      <c r="L7" s="2" t="s">
        <v>23</v>
      </c>
      <c r="M7" s="2" t="n">
        <v>9</v>
      </c>
      <c r="N7" s="12" t="n">
        <v>3000</v>
      </c>
      <c r="O7" s="12"/>
      <c r="P7" s="12" t="n">
        <f aca="false">P6+N7</f>
        <v>3000</v>
      </c>
      <c r="Q7" s="12" t="n">
        <f aca="false">I7-P7</f>
        <v>104839</v>
      </c>
    </row>
    <row r="8" customFormat="false" ht="12.8" hidden="false" customHeight="false" outlineLevel="0" collapsed="false">
      <c r="A8" s="1" t="n">
        <v>45629</v>
      </c>
      <c r="C8" s="31"/>
      <c r="F8" s="12"/>
      <c r="G8" s="12" t="n">
        <f aca="false">SUM(E8:F8)</f>
        <v>0</v>
      </c>
      <c r="H8" s="12"/>
      <c r="I8" s="12" t="n">
        <f aca="false">I7+G8</f>
        <v>107839</v>
      </c>
      <c r="J8" s="1" t="n">
        <v>45629</v>
      </c>
      <c r="N8" s="12"/>
      <c r="O8" s="12"/>
      <c r="P8" s="12" t="n">
        <f aca="false">P7+N8</f>
        <v>3000</v>
      </c>
      <c r="Q8" s="12" t="n">
        <f aca="false">I8-P8</f>
        <v>104839</v>
      </c>
    </row>
    <row r="9" customFormat="false" ht="12.8" hidden="false" customHeight="false" outlineLevel="0" collapsed="false">
      <c r="A9" s="1" t="n">
        <v>45630</v>
      </c>
      <c r="C9" s="31"/>
      <c r="F9" s="12"/>
      <c r="G9" s="12" t="n">
        <f aca="false">SUM(E9:F9)</f>
        <v>0</v>
      </c>
      <c r="H9" s="12"/>
      <c r="I9" s="12" t="n">
        <f aca="false">I8+G9</f>
        <v>107839</v>
      </c>
      <c r="J9" s="1" t="n">
        <v>45630</v>
      </c>
      <c r="N9" s="12"/>
      <c r="O9" s="12"/>
      <c r="P9" s="12" t="n">
        <f aca="false">P8+N9</f>
        <v>3000</v>
      </c>
      <c r="Q9" s="12" t="n">
        <f aca="false">I9-P9</f>
        <v>104839</v>
      </c>
    </row>
    <row r="10" customFormat="false" ht="12.8" hidden="false" customHeight="false" outlineLevel="0" collapsed="false">
      <c r="A10" s="1" t="n">
        <v>45631</v>
      </c>
      <c r="F10" s="12"/>
      <c r="G10" s="12" t="n">
        <f aca="false">SUM(E10:F10)</f>
        <v>0</v>
      </c>
      <c r="H10" s="12"/>
      <c r="I10" s="12" t="n">
        <f aca="false">I9+G10</f>
        <v>107839</v>
      </c>
      <c r="J10" s="1" t="n">
        <v>45631</v>
      </c>
      <c r="N10" s="12"/>
      <c r="O10" s="12"/>
      <c r="P10" s="12" t="n">
        <f aca="false">P9+N10</f>
        <v>3000</v>
      </c>
      <c r="Q10" s="12" t="n">
        <f aca="false">I10-P10</f>
        <v>104839</v>
      </c>
    </row>
    <row r="11" customFormat="false" ht="12.8" hidden="false" customHeight="false" outlineLevel="0" collapsed="false">
      <c r="A11" s="1" t="n">
        <v>45632</v>
      </c>
      <c r="F11" s="12"/>
      <c r="G11" s="12" t="n">
        <f aca="false">SUM(E11:F11)</f>
        <v>0</v>
      </c>
      <c r="H11" s="12"/>
      <c r="I11" s="12" t="n">
        <f aca="false">I10+G11</f>
        <v>107839</v>
      </c>
      <c r="J11" s="1" t="n">
        <v>45632</v>
      </c>
      <c r="N11" s="12"/>
      <c r="O11" s="12"/>
      <c r="P11" s="12" t="n">
        <f aca="false">P10+N11</f>
        <v>3000</v>
      </c>
      <c r="Q11" s="12" t="n">
        <f aca="false">I11-P11</f>
        <v>104839</v>
      </c>
    </row>
    <row r="12" customFormat="false" ht="12.8" hidden="false" customHeight="false" outlineLevel="0" collapsed="false">
      <c r="A12" s="1" t="n">
        <v>45633</v>
      </c>
      <c r="F12" s="12"/>
      <c r="G12" s="12" t="n">
        <f aca="false">SUM(E12:F12)</f>
        <v>0</v>
      </c>
      <c r="H12" s="12"/>
      <c r="I12" s="12" t="n">
        <f aca="false">I11+G12</f>
        <v>107839</v>
      </c>
      <c r="J12" s="1" t="n">
        <v>45633</v>
      </c>
      <c r="O12" s="12"/>
      <c r="P12" s="12" t="n">
        <f aca="false">P11+N12</f>
        <v>3000</v>
      </c>
      <c r="Q12" s="12" t="n">
        <f aca="false">I12-P12</f>
        <v>104839</v>
      </c>
    </row>
    <row r="13" customFormat="false" ht="12.8" hidden="false" customHeight="false" outlineLevel="0" collapsed="false">
      <c r="A13" s="1" t="n">
        <v>45634</v>
      </c>
      <c r="F13" s="12"/>
      <c r="G13" s="12" t="n">
        <f aca="false">SUM(E13:F13)</f>
        <v>0</v>
      </c>
      <c r="H13" s="12"/>
      <c r="I13" s="12" t="n">
        <f aca="false">I12+G13</f>
        <v>107839</v>
      </c>
      <c r="J13" s="1" t="n">
        <v>45634</v>
      </c>
      <c r="N13" s="12"/>
      <c r="O13" s="12"/>
      <c r="P13" s="12" t="n">
        <f aca="false">P12+N13</f>
        <v>3000</v>
      </c>
      <c r="Q13" s="12" t="n">
        <f aca="false">I13-P13</f>
        <v>104839</v>
      </c>
    </row>
    <row r="14" customFormat="false" ht="12.8" hidden="false" customHeight="false" outlineLevel="0" collapsed="false">
      <c r="A14" s="1" t="n">
        <v>45635</v>
      </c>
      <c r="F14" s="12"/>
      <c r="G14" s="12" t="n">
        <f aca="false">SUM(E14:F14)</f>
        <v>0</v>
      </c>
      <c r="H14" s="12"/>
      <c r="I14" s="12" t="n">
        <f aca="false">I13+G14</f>
        <v>107839</v>
      </c>
      <c r="J14" s="1" t="n">
        <v>45635</v>
      </c>
      <c r="N14" s="12"/>
      <c r="O14" s="12"/>
      <c r="P14" s="12" t="n">
        <f aca="false">P13+N14</f>
        <v>3000</v>
      </c>
      <c r="Q14" s="12" t="n">
        <f aca="false">I14-P14</f>
        <v>104839</v>
      </c>
    </row>
    <row r="15" customFormat="false" ht="12.8" hidden="false" customHeight="false" outlineLevel="0" collapsed="false">
      <c r="A15" s="1" t="n">
        <v>45636</v>
      </c>
      <c r="F15" s="12"/>
      <c r="G15" s="12" t="n">
        <f aca="false">SUM(E15:F15)</f>
        <v>0</v>
      </c>
      <c r="H15" s="12"/>
      <c r="I15" s="12" t="n">
        <f aca="false">I14+G15</f>
        <v>107839</v>
      </c>
      <c r="J15" s="1" t="n">
        <v>45636</v>
      </c>
      <c r="N15" s="12"/>
      <c r="O15" s="12"/>
      <c r="P15" s="12" t="n">
        <f aca="false">P14+N15</f>
        <v>3000</v>
      </c>
      <c r="Q15" s="12" t="n">
        <f aca="false">I15-P15</f>
        <v>104839</v>
      </c>
    </row>
    <row r="16" customFormat="false" ht="12.8" hidden="false" customHeight="false" outlineLevel="0" collapsed="false">
      <c r="A16" s="1" t="n">
        <v>45637</v>
      </c>
      <c r="F16" s="12"/>
      <c r="G16" s="12" t="n">
        <f aca="false">SUM(E16:F16)</f>
        <v>0</v>
      </c>
      <c r="H16" s="12"/>
      <c r="I16" s="12" t="n">
        <f aca="false">I15+G16</f>
        <v>107839</v>
      </c>
      <c r="J16" s="1" t="n">
        <v>45637</v>
      </c>
      <c r="N16" s="12"/>
      <c r="O16" s="12"/>
      <c r="P16" s="12" t="n">
        <f aca="false">P15+N16</f>
        <v>3000</v>
      </c>
      <c r="Q16" s="12" t="n">
        <f aca="false">I16-P16</f>
        <v>104839</v>
      </c>
    </row>
    <row r="17" customFormat="false" ht="12.8" hidden="false" customHeight="false" outlineLevel="0" collapsed="false">
      <c r="A17" s="1" t="n">
        <v>45638</v>
      </c>
      <c r="F17" s="12"/>
      <c r="G17" s="12" t="n">
        <f aca="false">SUM(E17:F17)</f>
        <v>0</v>
      </c>
      <c r="H17" s="12"/>
      <c r="I17" s="12" t="n">
        <f aca="false">I16+G17</f>
        <v>107839</v>
      </c>
      <c r="J17" s="1" t="n">
        <v>45638</v>
      </c>
      <c r="N17" s="12"/>
      <c r="O17" s="12"/>
      <c r="P17" s="12" t="n">
        <f aca="false">P16+N17</f>
        <v>3000</v>
      </c>
      <c r="Q17" s="12" t="n">
        <f aca="false">I17-P17</f>
        <v>104839</v>
      </c>
    </row>
    <row r="18" customFormat="false" ht="12.8" hidden="false" customHeight="false" outlineLevel="0" collapsed="false">
      <c r="A18" s="1" t="n">
        <v>45639</v>
      </c>
      <c r="F18" s="12"/>
      <c r="G18" s="12" t="n">
        <f aca="false">SUM(E18:F18)</f>
        <v>0</v>
      </c>
      <c r="H18" s="12"/>
      <c r="I18" s="12" t="n">
        <f aca="false">I17+G18</f>
        <v>107839</v>
      </c>
      <c r="J18" s="1" t="n">
        <v>45639</v>
      </c>
      <c r="N18" s="12"/>
      <c r="O18" s="12"/>
      <c r="P18" s="12" t="n">
        <f aca="false">P17+N18</f>
        <v>3000</v>
      </c>
      <c r="Q18" s="12" t="n">
        <f aca="false">I18-P18</f>
        <v>104839</v>
      </c>
    </row>
    <row r="19" customFormat="false" ht="12.8" hidden="false" customHeight="false" outlineLevel="0" collapsed="false">
      <c r="A19" s="1" t="n">
        <v>45640</v>
      </c>
      <c r="F19" s="12"/>
      <c r="G19" s="12" t="n">
        <f aca="false">SUM(E19:F19)</f>
        <v>0</v>
      </c>
      <c r="H19" s="12"/>
      <c r="I19" s="12" t="n">
        <f aca="false">I18+G19</f>
        <v>107839</v>
      </c>
      <c r="J19" s="1" t="n">
        <v>45640</v>
      </c>
      <c r="N19" s="12"/>
      <c r="O19" s="12"/>
      <c r="P19" s="12" t="n">
        <f aca="false">P18+N19</f>
        <v>3000</v>
      </c>
      <c r="Q19" s="12" t="n">
        <f aca="false">I19-P19</f>
        <v>104839</v>
      </c>
    </row>
    <row r="20" customFormat="false" ht="12.8" hidden="false" customHeight="false" outlineLevel="0" collapsed="false">
      <c r="A20" s="1" t="n">
        <v>45641</v>
      </c>
      <c r="C20" s="34"/>
      <c r="F20" s="12"/>
      <c r="G20" s="12" t="n">
        <f aca="false">SUM(E20:F20)</f>
        <v>0</v>
      </c>
      <c r="H20" s="12"/>
      <c r="I20" s="12" t="n">
        <f aca="false">I19+G20</f>
        <v>107839</v>
      </c>
      <c r="J20" s="1" t="n">
        <v>45641</v>
      </c>
      <c r="L20" s="39"/>
      <c r="N20" s="12"/>
      <c r="O20" s="12"/>
      <c r="P20" s="12" t="n">
        <f aca="false">P19+N20</f>
        <v>3000</v>
      </c>
      <c r="Q20" s="12" t="n">
        <f aca="false">I20-P20</f>
        <v>104839</v>
      </c>
    </row>
    <row r="21" customFormat="false" ht="48.05" hidden="false" customHeight="false" outlineLevel="0" collapsed="false">
      <c r="A21" s="1" t="n">
        <v>45642</v>
      </c>
      <c r="B21" s="2" t="s">
        <v>28</v>
      </c>
      <c r="C21" s="16" t="s">
        <v>58</v>
      </c>
      <c r="F21" s="12"/>
      <c r="G21" s="12" t="n">
        <f aca="false">SUM(E21:F21)</f>
        <v>0</v>
      </c>
      <c r="H21" s="12" t="n">
        <v>300</v>
      </c>
      <c r="I21" s="12" t="n">
        <f aca="false">I20+G21</f>
        <v>107839</v>
      </c>
      <c r="J21" s="1" t="n">
        <v>45642</v>
      </c>
      <c r="K21" s="2" t="s">
        <v>26</v>
      </c>
      <c r="L21" s="16" t="s">
        <v>58</v>
      </c>
      <c r="N21" s="12"/>
      <c r="O21" s="12" t="n">
        <v>300</v>
      </c>
      <c r="P21" s="12" t="n">
        <f aca="false">P20+N21</f>
        <v>3000</v>
      </c>
      <c r="Q21" s="12" t="n">
        <f aca="false">I21-P21</f>
        <v>104839</v>
      </c>
    </row>
    <row r="22" customFormat="false" ht="13.8" hidden="false" customHeight="false" outlineLevel="0" collapsed="false">
      <c r="A22" s="1" t="n">
        <v>45643</v>
      </c>
      <c r="C22" s="49"/>
      <c r="F22" s="12"/>
      <c r="G22" s="12" t="n">
        <f aca="false">SUM(E22:F22)</f>
        <v>0</v>
      </c>
      <c r="H22" s="12"/>
      <c r="I22" s="12" t="n">
        <f aca="false">I21+G22</f>
        <v>107839</v>
      </c>
      <c r="J22" s="1" t="n">
        <v>45643</v>
      </c>
      <c r="N22" s="12"/>
      <c r="O22" s="12"/>
      <c r="P22" s="12" t="n">
        <f aca="false">P21+N22</f>
        <v>3000</v>
      </c>
      <c r="Q22" s="12" t="n">
        <f aca="false">I22-P22</f>
        <v>104839</v>
      </c>
    </row>
    <row r="23" customFormat="false" ht="12.8" hidden="false" customHeight="false" outlineLevel="0" collapsed="false">
      <c r="A23" s="1" t="n">
        <v>45644</v>
      </c>
      <c r="C23" s="50"/>
      <c r="F23" s="12"/>
      <c r="G23" s="12" t="n">
        <f aca="false">SUM(E23:F23)</f>
        <v>0</v>
      </c>
      <c r="H23" s="12"/>
      <c r="I23" s="12" t="n">
        <f aca="false">I22+G23</f>
        <v>107839</v>
      </c>
      <c r="J23" s="1" t="n">
        <v>45644</v>
      </c>
      <c r="L23" s="50"/>
      <c r="N23" s="12"/>
      <c r="O23" s="51"/>
      <c r="P23" s="12" t="n">
        <f aca="false">P22+N23</f>
        <v>3000</v>
      </c>
      <c r="Q23" s="12" t="n">
        <f aca="false">I23-P23</f>
        <v>104839</v>
      </c>
    </row>
    <row r="24" customFormat="false" ht="12.8" hidden="false" customHeight="false" outlineLevel="0" collapsed="false">
      <c r="A24" s="1" t="n">
        <v>45645</v>
      </c>
      <c r="C24" s="50"/>
      <c r="F24" s="12"/>
      <c r="G24" s="12" t="n">
        <f aca="false">SUM(E24:F24)</f>
        <v>0</v>
      </c>
      <c r="H24" s="12"/>
      <c r="I24" s="12" t="n">
        <f aca="false">I23+G24</f>
        <v>107839</v>
      </c>
      <c r="J24" s="1" t="n">
        <v>45645</v>
      </c>
      <c r="N24" s="12"/>
      <c r="O24" s="51"/>
      <c r="P24" s="12" t="n">
        <f aca="false">P23+N24</f>
        <v>3000</v>
      </c>
      <c r="Q24" s="12" t="n">
        <f aca="false">I24-P24</f>
        <v>104839</v>
      </c>
    </row>
    <row r="25" customFormat="false" ht="12.8" hidden="false" customHeight="false" outlineLevel="0" collapsed="false">
      <c r="A25" s="1" t="n">
        <v>45646</v>
      </c>
      <c r="C25" s="50"/>
      <c r="F25" s="12"/>
      <c r="G25" s="12" t="n">
        <f aca="false">SUM(E25:F25)</f>
        <v>0</v>
      </c>
      <c r="H25" s="12"/>
      <c r="I25" s="12" t="n">
        <f aca="false">I24+G25</f>
        <v>107839</v>
      </c>
      <c r="J25" s="1" t="n">
        <v>45646</v>
      </c>
      <c r="N25" s="12"/>
      <c r="O25" s="51"/>
      <c r="P25" s="12" t="n">
        <f aca="false">P24+N25</f>
        <v>3000</v>
      </c>
      <c r="Q25" s="12" t="n">
        <f aca="false">I25-P25</f>
        <v>104839</v>
      </c>
    </row>
    <row r="26" customFormat="false" ht="12.8" hidden="false" customHeight="false" outlineLevel="0" collapsed="false">
      <c r="A26" s="1" t="n">
        <v>45647</v>
      </c>
      <c r="C26" s="50"/>
      <c r="F26" s="12"/>
      <c r="G26" s="12" t="n">
        <f aca="false">SUM(E26:F26)</f>
        <v>0</v>
      </c>
      <c r="H26" s="12"/>
      <c r="I26" s="12" t="n">
        <f aca="false">I25+G26</f>
        <v>107839</v>
      </c>
      <c r="J26" s="1" t="n">
        <v>45647</v>
      </c>
      <c r="K26" s="2" t="s">
        <v>22</v>
      </c>
      <c r="L26" s="2" t="s">
        <v>32</v>
      </c>
      <c r="M26" s="2" t="n">
        <v>9</v>
      </c>
      <c r="N26" s="12" t="n">
        <v>3000</v>
      </c>
      <c r="O26" s="51"/>
      <c r="P26" s="12" t="n">
        <f aca="false">P25+N26</f>
        <v>6000</v>
      </c>
      <c r="Q26" s="12" t="n">
        <f aca="false">I26-P26</f>
        <v>101839</v>
      </c>
    </row>
    <row r="27" customFormat="false" ht="12.8" hidden="false" customHeight="false" outlineLevel="0" collapsed="false">
      <c r="A27" s="1" t="n">
        <v>45648</v>
      </c>
      <c r="C27" s="50"/>
      <c r="F27" s="12"/>
      <c r="G27" s="12" t="n">
        <f aca="false">SUM(E27:F27)</f>
        <v>0</v>
      </c>
      <c r="H27" s="12"/>
      <c r="I27" s="12" t="n">
        <f aca="false">I26+G27</f>
        <v>107839</v>
      </c>
      <c r="J27" s="1" t="n">
        <v>45648</v>
      </c>
      <c r="N27" s="12"/>
      <c r="O27" s="12"/>
      <c r="P27" s="12" t="n">
        <f aca="false">P26+N27</f>
        <v>6000</v>
      </c>
      <c r="Q27" s="12" t="n">
        <f aca="false">I27-P27</f>
        <v>101839</v>
      </c>
    </row>
    <row r="28" customFormat="false" ht="12.8" hidden="false" customHeight="false" outlineLevel="0" collapsed="false">
      <c r="A28" s="1" t="n">
        <v>45649</v>
      </c>
      <c r="F28" s="12"/>
      <c r="G28" s="12" t="n">
        <f aca="false">SUM(E28:F28)</f>
        <v>0</v>
      </c>
      <c r="H28" s="12"/>
      <c r="I28" s="12" t="n">
        <f aca="false">I27+G28</f>
        <v>107839</v>
      </c>
      <c r="J28" s="1" t="n">
        <v>45649</v>
      </c>
      <c r="N28" s="12"/>
      <c r="O28" s="12"/>
      <c r="P28" s="12" t="n">
        <f aca="false">P27+N28</f>
        <v>6000</v>
      </c>
      <c r="Q28" s="12" t="n">
        <f aca="false">I28-P28</f>
        <v>101839</v>
      </c>
    </row>
    <row r="29" customFormat="false" ht="12.8" hidden="false" customHeight="false" outlineLevel="0" collapsed="false">
      <c r="A29" s="1" t="n">
        <v>45650</v>
      </c>
      <c r="F29" s="12"/>
      <c r="G29" s="12" t="n">
        <f aca="false">SUM(E29:F29)</f>
        <v>0</v>
      </c>
      <c r="H29" s="12"/>
      <c r="I29" s="12" t="n">
        <f aca="false">I28+G29</f>
        <v>107839</v>
      </c>
      <c r="J29" s="1" t="n">
        <v>45650</v>
      </c>
      <c r="N29" s="12"/>
      <c r="O29" s="12"/>
      <c r="P29" s="12" t="n">
        <f aca="false">P28+N29</f>
        <v>6000</v>
      </c>
      <c r="Q29" s="12" t="n">
        <f aca="false">I29-P29</f>
        <v>101839</v>
      </c>
    </row>
    <row r="30" customFormat="false" ht="12.8" hidden="false" customHeight="false" outlineLevel="0" collapsed="false">
      <c r="A30" s="1" t="n">
        <v>45651</v>
      </c>
      <c r="F30" s="12"/>
      <c r="G30" s="12" t="n">
        <f aca="false">SUM(E30:F30)</f>
        <v>0</v>
      </c>
      <c r="H30" s="12"/>
      <c r="I30" s="12" t="n">
        <f aca="false">I29+G30</f>
        <v>107839</v>
      </c>
      <c r="J30" s="1" t="n">
        <v>45651</v>
      </c>
      <c r="N30" s="12"/>
      <c r="O30" s="12"/>
      <c r="P30" s="12" t="n">
        <f aca="false">P29+N30</f>
        <v>6000</v>
      </c>
      <c r="Q30" s="12" t="n">
        <f aca="false">I30-P30</f>
        <v>101839</v>
      </c>
    </row>
    <row r="31" customFormat="false" ht="48.05" hidden="false" customHeight="false" outlineLevel="0" collapsed="false">
      <c r="A31" s="1" t="n">
        <v>45652</v>
      </c>
      <c r="B31" s="2" t="s">
        <v>28</v>
      </c>
      <c r="C31" s="16" t="s">
        <v>59</v>
      </c>
      <c r="D31" s="2" t="n">
        <v>8</v>
      </c>
      <c r="F31" s="12"/>
      <c r="G31" s="12" t="n">
        <f aca="false">SUM(E31:F31)</f>
        <v>0</v>
      </c>
      <c r="H31" s="12" t="n">
        <v>300</v>
      </c>
      <c r="I31" s="12" t="n">
        <f aca="false">I30+G31</f>
        <v>107839</v>
      </c>
      <c r="J31" s="1" t="n">
        <v>45652</v>
      </c>
      <c r="K31" s="2" t="s">
        <v>26</v>
      </c>
      <c r="L31" s="16" t="s">
        <v>59</v>
      </c>
      <c r="M31" s="2" t="n">
        <v>4</v>
      </c>
      <c r="N31" s="12"/>
      <c r="O31" s="12" t="n">
        <v>300</v>
      </c>
      <c r="P31" s="12" t="n">
        <f aca="false">P30+N31</f>
        <v>6000</v>
      </c>
      <c r="Q31" s="12" t="n">
        <f aca="false">I31-P31</f>
        <v>101839</v>
      </c>
    </row>
    <row r="32" customFormat="false" ht="12.8" hidden="false" customHeight="false" outlineLevel="0" collapsed="false">
      <c r="A32" s="1" t="n">
        <v>45653</v>
      </c>
      <c r="F32" s="12"/>
      <c r="G32" s="12" t="n">
        <f aca="false">SUM(E32:F32)</f>
        <v>0</v>
      </c>
      <c r="H32" s="12"/>
      <c r="I32" s="12" t="n">
        <f aca="false">I31+G32</f>
        <v>107839</v>
      </c>
      <c r="J32" s="1" t="n">
        <v>45653</v>
      </c>
      <c r="O32" s="12"/>
      <c r="P32" s="12" t="n">
        <f aca="false">P31+N32</f>
        <v>6000</v>
      </c>
      <c r="Q32" s="12" t="n">
        <f aca="false">I32-P32</f>
        <v>101839</v>
      </c>
    </row>
    <row r="33" customFormat="false" ht="12.8" hidden="false" customHeight="false" outlineLevel="0" collapsed="false">
      <c r="A33" s="1" t="n">
        <v>45654</v>
      </c>
      <c r="F33" s="12"/>
      <c r="G33" s="12" t="n">
        <f aca="false">SUM(E33:F33)</f>
        <v>0</v>
      </c>
      <c r="H33" s="12"/>
      <c r="I33" s="12" t="n">
        <f aca="false">I32+G33</f>
        <v>107839</v>
      </c>
      <c r="J33" s="1" t="n">
        <v>45654</v>
      </c>
      <c r="K33" s="2" t="s">
        <v>30</v>
      </c>
      <c r="L33" s="2" t="s">
        <v>31</v>
      </c>
      <c r="M33" s="2" t="n">
        <v>11</v>
      </c>
      <c r="N33" s="12" t="n">
        <v>500</v>
      </c>
      <c r="O33" s="12"/>
      <c r="P33" s="12" t="n">
        <f aca="false">P32+N33</f>
        <v>6500</v>
      </c>
      <c r="Q33" s="12" t="n">
        <f aca="false">I33-P33</f>
        <v>101339</v>
      </c>
    </row>
    <row r="34" customFormat="false" ht="12.8" hidden="false" customHeight="false" outlineLevel="0" collapsed="false">
      <c r="A34" s="1" t="n">
        <v>45655</v>
      </c>
      <c r="F34" s="12"/>
      <c r="G34" s="12" t="n">
        <f aca="false">SUM(E34:F34)</f>
        <v>0</v>
      </c>
      <c r="H34" s="12"/>
      <c r="I34" s="12" t="n">
        <f aca="false">I33+G34</f>
        <v>107839</v>
      </c>
      <c r="J34" s="1" t="n">
        <v>45655</v>
      </c>
      <c r="N34" s="12"/>
      <c r="O34" s="12"/>
      <c r="P34" s="12" t="n">
        <f aca="false">P33+N34</f>
        <v>6500</v>
      </c>
      <c r="Q34" s="12" t="n">
        <f aca="false">I34-P34</f>
        <v>101339</v>
      </c>
    </row>
    <row r="35" customFormat="false" ht="36.45" hidden="false" customHeight="false" outlineLevel="0" collapsed="false">
      <c r="A35" s="1" t="n">
        <v>45656</v>
      </c>
      <c r="B35" s="2" t="s">
        <v>26</v>
      </c>
      <c r="C35" s="19" t="s">
        <v>60</v>
      </c>
      <c r="D35" s="2" t="n">
        <v>4</v>
      </c>
      <c r="F35" s="3" t="n">
        <v>10000</v>
      </c>
      <c r="G35" s="12" t="n">
        <f aca="false">SUM(E35:F35)</f>
        <v>10000</v>
      </c>
      <c r="I35" s="12" t="n">
        <f aca="false">I34+G35</f>
        <v>117839</v>
      </c>
      <c r="J35" s="1" t="n">
        <v>45656</v>
      </c>
      <c r="N35" s="12"/>
      <c r="O35" s="12"/>
      <c r="P35" s="12" t="n">
        <f aca="false">P34+N35</f>
        <v>6500</v>
      </c>
      <c r="Q35" s="12" t="n">
        <f aca="false">I35-P35</f>
        <v>111339</v>
      </c>
    </row>
    <row r="36" customFormat="false" ht="12.8" hidden="false" customHeight="false" outlineLevel="0" collapsed="false">
      <c r="A36" s="1" t="n">
        <v>45657</v>
      </c>
      <c r="G36" s="12" t="n">
        <f aca="false">SUM(E36:F36)</f>
        <v>0</v>
      </c>
      <c r="I36" s="12" t="n">
        <f aca="false">I35+G36</f>
        <v>117839</v>
      </c>
      <c r="J36" s="1" t="n">
        <v>45657</v>
      </c>
      <c r="N36" s="12"/>
      <c r="O36" s="12"/>
      <c r="P36" s="12" t="n">
        <f aca="false">P35+N36</f>
        <v>6500</v>
      </c>
      <c r="Q36" s="12" t="n">
        <f aca="false">I36-P36</f>
        <v>111339</v>
      </c>
    </row>
    <row r="37" customFormat="false" ht="12.8" hidden="false" customHeight="false" outlineLevel="0" collapsed="false">
      <c r="A37" s="1" t="n">
        <v>45657</v>
      </c>
      <c r="G37" s="12" t="n">
        <f aca="false">SUM(E37:F37)</f>
        <v>0</v>
      </c>
      <c r="I37" s="12" t="n">
        <f aca="false">I36+G37</f>
        <v>117839</v>
      </c>
      <c r="J37" s="1" t="n">
        <v>45657</v>
      </c>
      <c r="K37" s="2" t="s">
        <v>19</v>
      </c>
      <c r="L37" s="2" t="s">
        <v>34</v>
      </c>
      <c r="N37" s="12" t="n">
        <f aca="false">Q36</f>
        <v>111339</v>
      </c>
      <c r="O37" s="12"/>
      <c r="P37" s="12" t="n">
        <f aca="false">P36+N37</f>
        <v>117839</v>
      </c>
      <c r="Q37" s="12" t="n">
        <f aca="false">I37-P37</f>
        <v>0</v>
      </c>
    </row>
    <row r="38" customFormat="false" ht="12.8" hidden="false" customHeight="false" outlineLevel="0" collapsed="false">
      <c r="G38" s="12"/>
      <c r="I38" s="12"/>
      <c r="N38" s="12"/>
      <c r="O38" s="12"/>
      <c r="P38" s="12"/>
      <c r="Q38" s="12"/>
    </row>
    <row r="39" customFormat="false" ht="12.8" hidden="false" customHeight="false" outlineLevel="0" collapsed="false">
      <c r="H39" s="3" t="n">
        <f aca="false">SUM(H6:H38)</f>
        <v>600</v>
      </c>
      <c r="O39" s="3" t="n">
        <f aca="false">SUM(O6:O38)</f>
        <v>600</v>
      </c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O10" activeCellId="0" sqref="O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10.13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10.13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Jan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45658</v>
      </c>
      <c r="B6" s="2" t="s">
        <v>19</v>
      </c>
      <c r="C6" s="2" t="s">
        <v>20</v>
      </c>
      <c r="F6" s="12" t="n">
        <f aca="false">Dec!N37</f>
        <v>111339</v>
      </c>
      <c r="G6" s="12" t="n">
        <f aca="false">Dec!N37</f>
        <v>111339</v>
      </c>
      <c r="H6" s="12"/>
      <c r="I6" s="12" t="n">
        <f aca="false">I5+G6</f>
        <v>111339</v>
      </c>
      <c r="J6" s="1" t="n">
        <v>45658</v>
      </c>
      <c r="O6" s="12"/>
      <c r="P6" s="12" t="n">
        <f aca="false">P5+N6</f>
        <v>0</v>
      </c>
      <c r="Q6" s="12" t="n">
        <f aca="false">I6-P6</f>
        <v>111339</v>
      </c>
    </row>
    <row r="7" customFormat="false" ht="12.8" hidden="false" customHeight="false" outlineLevel="0" collapsed="false">
      <c r="A7" s="1" t="n">
        <v>45659</v>
      </c>
      <c r="C7" s="14"/>
      <c r="F7" s="12"/>
      <c r="G7" s="12" t="n">
        <f aca="false">SUM(E7:F7)</f>
        <v>0</v>
      </c>
      <c r="H7" s="12"/>
      <c r="I7" s="12" t="n">
        <f aca="false">I6+G7</f>
        <v>111339</v>
      </c>
      <c r="J7" s="1" t="n">
        <v>45659</v>
      </c>
      <c r="K7" s="2" t="s">
        <v>22</v>
      </c>
      <c r="L7" s="2" t="s">
        <v>23</v>
      </c>
      <c r="M7" s="2" t="n">
        <v>9</v>
      </c>
      <c r="N7" s="12" t="n">
        <v>3000</v>
      </c>
      <c r="O7" s="37"/>
      <c r="P7" s="12" t="n">
        <f aca="false">P6+N7</f>
        <v>3000</v>
      </c>
      <c r="Q7" s="12" t="n">
        <f aca="false">I7-P7</f>
        <v>108339</v>
      </c>
    </row>
    <row r="8" customFormat="false" ht="24.85" hidden="false" customHeight="false" outlineLevel="0" collapsed="false">
      <c r="A8" s="1" t="n">
        <v>45660</v>
      </c>
      <c r="B8" s="2" t="s">
        <v>28</v>
      </c>
      <c r="C8" s="16" t="s">
        <v>61</v>
      </c>
      <c r="F8" s="12"/>
      <c r="G8" s="12" t="n">
        <f aca="false">SUM(E8:F8)</f>
        <v>0</v>
      </c>
      <c r="H8" s="12" t="n">
        <f aca="false">4680*1.1</f>
        <v>5148</v>
      </c>
      <c r="I8" s="12" t="n">
        <f aca="false">I7+G8</f>
        <v>111339</v>
      </c>
      <c r="J8" s="1" t="n">
        <v>45660</v>
      </c>
      <c r="K8" s="2" t="s">
        <v>26</v>
      </c>
      <c r="L8" s="16" t="s">
        <v>61</v>
      </c>
      <c r="N8" s="12"/>
      <c r="O8" s="37" t="n">
        <v>4680</v>
      </c>
      <c r="P8" s="12" t="n">
        <f aca="false">P7+N8</f>
        <v>3000</v>
      </c>
      <c r="Q8" s="12" t="n">
        <f aca="false">I8-P8</f>
        <v>108339</v>
      </c>
    </row>
    <row r="9" customFormat="false" ht="12.8" hidden="false" customHeight="false" outlineLevel="0" collapsed="false">
      <c r="A9" s="1" t="n">
        <v>45660</v>
      </c>
      <c r="C9" s="14"/>
      <c r="F9" s="12"/>
      <c r="G9" s="12" t="n">
        <f aca="false">SUM(E9:F9)</f>
        <v>0</v>
      </c>
      <c r="H9" s="12"/>
      <c r="I9" s="12" t="n">
        <f aca="false">I8+G9</f>
        <v>111339</v>
      </c>
      <c r="J9" s="1" t="n">
        <v>45660</v>
      </c>
      <c r="K9" s="2" t="s">
        <v>38</v>
      </c>
      <c r="N9" s="12"/>
      <c r="O9" s="37" t="n">
        <v>468</v>
      </c>
      <c r="P9" s="12" t="n">
        <f aca="false">P8+N9</f>
        <v>3000</v>
      </c>
      <c r="Q9" s="12" t="n">
        <f aca="false">I9-P9</f>
        <v>108339</v>
      </c>
    </row>
    <row r="10" customFormat="false" ht="13.8" hidden="false" customHeight="false" outlineLevel="0" collapsed="false">
      <c r="A10" s="1" t="n">
        <v>45662</v>
      </c>
      <c r="C10" s="21"/>
      <c r="D10" s="20"/>
      <c r="F10" s="12"/>
      <c r="G10" s="12" t="n">
        <f aca="false">SUM(E10:F10)</f>
        <v>0</v>
      </c>
      <c r="H10" s="12"/>
      <c r="I10" s="12" t="n">
        <f aca="false">I9+G10</f>
        <v>111339</v>
      </c>
      <c r="J10" s="1" t="n">
        <v>45662</v>
      </c>
      <c r="L10" s="14"/>
      <c r="N10" s="12"/>
      <c r="O10" s="37"/>
      <c r="P10" s="12" t="n">
        <f aca="false">P9+N10</f>
        <v>3000</v>
      </c>
      <c r="Q10" s="12" t="n">
        <f aca="false">I10-P10</f>
        <v>108339</v>
      </c>
    </row>
    <row r="11" customFormat="false" ht="12.8" hidden="false" customHeight="false" outlineLevel="0" collapsed="false">
      <c r="A11" s="1" t="n">
        <v>45663</v>
      </c>
      <c r="F11" s="12"/>
      <c r="G11" s="12" t="n">
        <f aca="false">SUM(E11:F11)</f>
        <v>0</v>
      </c>
      <c r="H11" s="12"/>
      <c r="I11" s="12" t="n">
        <f aca="false">I10+G11</f>
        <v>111339</v>
      </c>
      <c r="J11" s="1" t="n">
        <v>45663</v>
      </c>
      <c r="L11" s="14"/>
      <c r="N11" s="12"/>
      <c r="O11" s="37"/>
      <c r="P11" s="12" t="n">
        <f aca="false">P10+N11</f>
        <v>3000</v>
      </c>
      <c r="Q11" s="12" t="n">
        <f aca="false">I11-P11</f>
        <v>108339</v>
      </c>
    </row>
    <row r="12" customFormat="false" ht="12.8" hidden="false" customHeight="false" outlineLevel="0" collapsed="false">
      <c r="A12" s="1" t="n">
        <v>45664</v>
      </c>
      <c r="C12" s="14"/>
      <c r="F12" s="12"/>
      <c r="G12" s="12" t="n">
        <f aca="false">SUM(E12:F12)</f>
        <v>0</v>
      </c>
      <c r="H12" s="12"/>
      <c r="I12" s="12" t="n">
        <f aca="false">I11+G12</f>
        <v>111339</v>
      </c>
      <c r="J12" s="1" t="n">
        <v>45664</v>
      </c>
      <c r="L12" s="31"/>
      <c r="N12" s="12"/>
      <c r="O12" s="37"/>
      <c r="P12" s="12" t="n">
        <f aca="false">P11+N12</f>
        <v>3000</v>
      </c>
      <c r="Q12" s="12" t="n">
        <f aca="false">I12-P12</f>
        <v>108339</v>
      </c>
    </row>
    <row r="13" customFormat="false" ht="12.8" hidden="false" customHeight="false" outlineLevel="0" collapsed="false">
      <c r="A13" s="1" t="n">
        <v>45665</v>
      </c>
      <c r="C13" s="31"/>
      <c r="F13" s="12"/>
      <c r="G13" s="12" t="n">
        <f aca="false">SUM(E13:F13)</f>
        <v>0</v>
      </c>
      <c r="H13" s="12"/>
      <c r="I13" s="12" t="n">
        <f aca="false">I12+G13</f>
        <v>111339</v>
      </c>
      <c r="J13" s="1" t="n">
        <v>45665</v>
      </c>
      <c r="O13" s="12"/>
      <c r="P13" s="12" t="n">
        <f aca="false">P12+N13</f>
        <v>3000</v>
      </c>
      <c r="Q13" s="12" t="n">
        <f aca="false">I13-P13</f>
        <v>108339</v>
      </c>
    </row>
    <row r="14" customFormat="false" ht="12.8" hidden="false" customHeight="false" outlineLevel="0" collapsed="false">
      <c r="A14" s="1" t="n">
        <v>45666</v>
      </c>
      <c r="C14" s="19"/>
      <c r="F14" s="12"/>
      <c r="G14" s="12" t="n">
        <f aca="false">SUM(E14:F14)</f>
        <v>0</v>
      </c>
      <c r="H14" s="12"/>
      <c r="I14" s="12" t="n">
        <f aca="false">I13+G14</f>
        <v>111339</v>
      </c>
      <c r="J14" s="1" t="n">
        <v>45666</v>
      </c>
      <c r="N14" s="12"/>
      <c r="O14" s="12"/>
      <c r="P14" s="12" t="n">
        <f aca="false">P13+N14</f>
        <v>3000</v>
      </c>
      <c r="Q14" s="12" t="n">
        <f aca="false">I14-P14</f>
        <v>108339</v>
      </c>
    </row>
    <row r="15" customFormat="false" ht="13.8" hidden="false" customHeight="false" outlineLevel="0" collapsed="false">
      <c r="A15" s="1" t="n">
        <v>45667</v>
      </c>
      <c r="C15" s="21"/>
      <c r="D15" s="20"/>
      <c r="F15" s="12"/>
      <c r="G15" s="12" t="n">
        <f aca="false">SUM(E15:F15)</f>
        <v>0</v>
      </c>
      <c r="H15" s="12"/>
      <c r="I15" s="12" t="n">
        <f aca="false">I14+G15</f>
        <v>111339</v>
      </c>
      <c r="J15" s="1" t="n">
        <v>45667</v>
      </c>
      <c r="L15" s="14"/>
      <c r="N15" s="12"/>
      <c r="O15" s="12"/>
      <c r="P15" s="12" t="n">
        <f aca="false">P14+N15</f>
        <v>3000</v>
      </c>
      <c r="Q15" s="12" t="n">
        <f aca="false">I15-P15</f>
        <v>108339</v>
      </c>
    </row>
    <row r="16" customFormat="false" ht="12.8" hidden="false" customHeight="false" outlineLevel="0" collapsed="false">
      <c r="A16" s="1" t="n">
        <v>45668</v>
      </c>
      <c r="F16" s="12"/>
      <c r="G16" s="12" t="n">
        <f aca="false">SUM(E16:F16)</f>
        <v>0</v>
      </c>
      <c r="H16" s="12"/>
      <c r="I16" s="12" t="n">
        <f aca="false">I15+G16</f>
        <v>111339</v>
      </c>
      <c r="J16" s="1" t="n">
        <v>45668</v>
      </c>
      <c r="N16" s="12"/>
      <c r="O16" s="12"/>
      <c r="P16" s="12" t="n">
        <f aca="false">P15+N16</f>
        <v>3000</v>
      </c>
      <c r="Q16" s="12" t="n">
        <f aca="false">I16-P16</f>
        <v>108339</v>
      </c>
    </row>
    <row r="17" customFormat="false" ht="12.8" hidden="false" customHeight="false" outlineLevel="0" collapsed="false">
      <c r="A17" s="1" t="n">
        <v>45669</v>
      </c>
      <c r="F17" s="12"/>
      <c r="G17" s="12" t="n">
        <f aca="false">SUM(E17:F17)</f>
        <v>0</v>
      </c>
      <c r="H17" s="12"/>
      <c r="I17" s="12" t="n">
        <f aca="false">I16+G17</f>
        <v>111339</v>
      </c>
      <c r="J17" s="1" t="n">
        <v>45669</v>
      </c>
      <c r="N17" s="12"/>
      <c r="O17" s="12"/>
      <c r="P17" s="12" t="n">
        <f aca="false">P16+N17</f>
        <v>3000</v>
      </c>
      <c r="Q17" s="12" t="n">
        <f aca="false">I17-P17</f>
        <v>108339</v>
      </c>
    </row>
    <row r="18" customFormat="false" ht="13.8" hidden="false" customHeight="false" outlineLevel="0" collapsed="false">
      <c r="A18" s="1" t="n">
        <v>45670</v>
      </c>
      <c r="C18" s="52"/>
      <c r="F18" s="12"/>
      <c r="G18" s="12" t="n">
        <f aca="false">SUM(E18:F18)</f>
        <v>0</v>
      </c>
      <c r="H18" s="12"/>
      <c r="I18" s="12" t="n">
        <f aca="false">I17+G18</f>
        <v>111339</v>
      </c>
      <c r="J18" s="1" t="n">
        <v>45670</v>
      </c>
      <c r="L18" s="52" t="s">
        <v>21</v>
      </c>
      <c r="O18" s="12"/>
      <c r="P18" s="12" t="n">
        <f aca="false">P17+N18</f>
        <v>3000</v>
      </c>
      <c r="Q18" s="12" t="n">
        <f aca="false">I18-P18</f>
        <v>108339</v>
      </c>
    </row>
    <row r="19" customFormat="false" ht="12.8" hidden="false" customHeight="false" outlineLevel="0" collapsed="false">
      <c r="A19" s="1" t="n">
        <v>45671</v>
      </c>
      <c r="F19" s="12"/>
      <c r="G19" s="12" t="n">
        <f aca="false">SUM(E19:F19)</f>
        <v>0</v>
      </c>
      <c r="H19" s="12"/>
      <c r="I19" s="12" t="n">
        <f aca="false">I18+G19</f>
        <v>111339</v>
      </c>
      <c r="J19" s="1" t="n">
        <v>45671</v>
      </c>
      <c r="N19" s="12"/>
      <c r="O19" s="12"/>
      <c r="P19" s="12" t="n">
        <f aca="false">P18+N19</f>
        <v>3000</v>
      </c>
      <c r="Q19" s="12" t="n">
        <f aca="false">I19-P19</f>
        <v>108339</v>
      </c>
    </row>
    <row r="20" customFormat="false" ht="12.8" hidden="false" customHeight="false" outlineLevel="0" collapsed="false">
      <c r="A20" s="1" t="n">
        <v>45672</v>
      </c>
      <c r="F20" s="12"/>
      <c r="G20" s="12" t="n">
        <f aca="false">SUM(E20:F20)</f>
        <v>0</v>
      </c>
      <c r="H20" s="12"/>
      <c r="I20" s="12" t="n">
        <f aca="false">I19+G20</f>
        <v>111339</v>
      </c>
      <c r="J20" s="1" t="n">
        <v>45672</v>
      </c>
      <c r="N20" s="12"/>
      <c r="O20" s="12"/>
      <c r="P20" s="12" t="n">
        <f aca="false">P19+N20</f>
        <v>3000</v>
      </c>
      <c r="Q20" s="12" t="n">
        <f aca="false">I20-P20</f>
        <v>108339</v>
      </c>
    </row>
    <row r="21" customFormat="false" ht="12.8" hidden="false" customHeight="false" outlineLevel="0" collapsed="false">
      <c r="A21" s="1" t="n">
        <v>45673</v>
      </c>
      <c r="B21" s="5"/>
      <c r="C21" s="5"/>
      <c r="D21" s="5"/>
      <c r="E21" s="5"/>
      <c r="F21" s="6"/>
      <c r="G21" s="12" t="n">
        <f aca="false">SUM(E21:F21)</f>
        <v>0</v>
      </c>
      <c r="H21" s="12"/>
      <c r="I21" s="12" t="n">
        <f aca="false">I20+G21</f>
        <v>111339</v>
      </c>
      <c r="J21" s="1" t="n">
        <v>45673</v>
      </c>
      <c r="K21" s="5"/>
      <c r="L21" s="5"/>
      <c r="M21" s="5"/>
      <c r="N21" s="6"/>
      <c r="O21" s="6"/>
      <c r="P21" s="12" t="n">
        <f aca="false">P20+N21</f>
        <v>3000</v>
      </c>
      <c r="Q21" s="12" t="n">
        <f aca="false">I21-P21</f>
        <v>108339</v>
      </c>
    </row>
    <row r="22" customFormat="false" ht="12.8" hidden="false" customHeight="false" outlineLevel="0" collapsed="false">
      <c r="A22" s="1" t="n">
        <v>45674</v>
      </c>
      <c r="B22" s="5"/>
      <c r="C22" s="5"/>
      <c r="D22" s="8"/>
      <c r="E22" s="9"/>
      <c r="F22" s="9"/>
      <c r="G22" s="12" t="n">
        <f aca="false">SUM(E22:F22)</f>
        <v>0</v>
      </c>
      <c r="H22" s="12"/>
      <c r="I22" s="12" t="n">
        <f aca="false">I21+G22</f>
        <v>111339</v>
      </c>
      <c r="J22" s="1" t="n">
        <v>45674</v>
      </c>
      <c r="K22" s="8"/>
      <c r="L22" s="9"/>
      <c r="M22" s="9"/>
      <c r="N22" s="9"/>
      <c r="O22" s="9"/>
      <c r="P22" s="12" t="n">
        <f aca="false">P21+N22</f>
        <v>3000</v>
      </c>
      <c r="Q22" s="12" t="n">
        <f aca="false">I22-P22</f>
        <v>108339</v>
      </c>
    </row>
    <row r="23" customFormat="false" ht="12.8" hidden="false" customHeight="false" outlineLevel="0" collapsed="false">
      <c r="A23" s="1" t="n">
        <v>45675</v>
      </c>
      <c r="B23" s="5"/>
      <c r="C23" s="5"/>
      <c r="D23" s="5"/>
      <c r="E23" s="5"/>
      <c r="F23" s="6"/>
      <c r="G23" s="12" t="n">
        <f aca="false">SUM(E23:F23)</f>
        <v>0</v>
      </c>
      <c r="H23" s="12"/>
      <c r="I23" s="12" t="n">
        <f aca="false">I22+G23</f>
        <v>111339</v>
      </c>
      <c r="J23" s="1" t="n">
        <v>45675</v>
      </c>
      <c r="K23" s="5"/>
      <c r="L23" s="5"/>
      <c r="M23" s="5"/>
      <c r="N23" s="6"/>
      <c r="O23" s="6"/>
      <c r="P23" s="12" t="n">
        <f aca="false">P22+N23</f>
        <v>3000</v>
      </c>
      <c r="Q23" s="12" t="n">
        <f aca="false">I23-P23</f>
        <v>108339</v>
      </c>
    </row>
    <row r="24" customFormat="false" ht="12.8" hidden="false" customHeight="false" outlineLevel="0" collapsed="false">
      <c r="A24" s="1" t="n">
        <v>45676</v>
      </c>
      <c r="B24" s="5"/>
      <c r="C24" s="5"/>
      <c r="D24" s="8"/>
      <c r="E24" s="8"/>
      <c r="F24" s="9"/>
      <c r="G24" s="12" t="n">
        <f aca="false">SUM(E24:F24)</f>
        <v>0</v>
      </c>
      <c r="H24" s="12"/>
      <c r="I24" s="12" t="n">
        <f aca="false">I23+G24</f>
        <v>111339</v>
      </c>
      <c r="J24" s="1" t="n">
        <v>45676</v>
      </c>
      <c r="O24" s="9"/>
      <c r="P24" s="12" t="n">
        <f aca="false">P23+N24</f>
        <v>3000</v>
      </c>
      <c r="Q24" s="12" t="n">
        <f aca="false">I24-P24</f>
        <v>108339</v>
      </c>
    </row>
    <row r="25" customFormat="false" ht="12.8" hidden="false" customHeight="false" outlineLevel="0" collapsed="false">
      <c r="A25" s="1" t="n">
        <v>45677</v>
      </c>
      <c r="G25" s="12" t="n">
        <f aca="false">SUM(E25:F25)</f>
        <v>0</v>
      </c>
      <c r="H25" s="12"/>
      <c r="I25" s="12" t="n">
        <f aca="false">I24+G25</f>
        <v>111339</v>
      </c>
      <c r="J25" s="1" t="n">
        <v>45677</v>
      </c>
      <c r="K25" s="2" t="s">
        <v>22</v>
      </c>
      <c r="L25" s="2" t="s">
        <v>32</v>
      </c>
      <c r="M25" s="2" t="n">
        <v>9</v>
      </c>
      <c r="N25" s="12" t="n">
        <v>3000</v>
      </c>
      <c r="P25" s="12" t="n">
        <f aca="false">P24+N25</f>
        <v>6000</v>
      </c>
      <c r="Q25" s="12" t="n">
        <f aca="false">I25-P25</f>
        <v>105339</v>
      </c>
    </row>
    <row r="26" customFormat="false" ht="12.8" hidden="false" customHeight="false" outlineLevel="0" collapsed="false">
      <c r="A26" s="1" t="n">
        <v>45678</v>
      </c>
      <c r="F26" s="12"/>
      <c r="G26" s="12" t="n">
        <f aca="false">SUM(E26:F26)</f>
        <v>0</v>
      </c>
      <c r="H26" s="12"/>
      <c r="I26" s="12" t="n">
        <f aca="false">I25+G26</f>
        <v>111339</v>
      </c>
      <c r="J26" s="1" t="n">
        <v>45678</v>
      </c>
      <c r="P26" s="12" t="n">
        <f aca="false">P25+N26</f>
        <v>6000</v>
      </c>
      <c r="Q26" s="12" t="n">
        <f aca="false">I26-P26</f>
        <v>105339</v>
      </c>
    </row>
    <row r="27" customFormat="false" ht="12.8" hidden="false" customHeight="false" outlineLevel="0" collapsed="false">
      <c r="A27" s="1" t="n">
        <v>45679</v>
      </c>
      <c r="F27" s="12"/>
      <c r="G27" s="12" t="n">
        <f aca="false">SUM(E27:F27)</f>
        <v>0</v>
      </c>
      <c r="H27" s="12"/>
      <c r="I27" s="12" t="n">
        <f aca="false">I26+G27</f>
        <v>111339</v>
      </c>
      <c r="J27" s="1" t="n">
        <v>45679</v>
      </c>
      <c r="K27" s="2" t="s">
        <v>30</v>
      </c>
      <c r="L27" s="2" t="s">
        <v>31</v>
      </c>
      <c r="M27" s="2" t="n">
        <v>11</v>
      </c>
      <c r="N27" s="12" t="n">
        <v>500</v>
      </c>
      <c r="O27" s="12"/>
      <c r="P27" s="12" t="n">
        <f aca="false">P26+N27</f>
        <v>6500</v>
      </c>
      <c r="Q27" s="12" t="n">
        <f aca="false">I27-P27</f>
        <v>104839</v>
      </c>
    </row>
    <row r="28" customFormat="false" ht="12.8" hidden="false" customHeight="false" outlineLevel="0" collapsed="false">
      <c r="A28" s="1" t="n">
        <v>45680</v>
      </c>
      <c r="F28" s="12"/>
      <c r="G28" s="12" t="n">
        <f aca="false">SUM(E28:F28)</f>
        <v>0</v>
      </c>
      <c r="H28" s="12"/>
      <c r="I28" s="12" t="n">
        <f aca="false">I27+G28</f>
        <v>111339</v>
      </c>
      <c r="J28" s="1" t="n">
        <v>45680</v>
      </c>
      <c r="N28" s="12"/>
      <c r="O28" s="12"/>
      <c r="P28" s="12" t="n">
        <f aca="false">P27+N28</f>
        <v>6500</v>
      </c>
      <c r="Q28" s="12" t="n">
        <f aca="false">I28-P28</f>
        <v>104839</v>
      </c>
    </row>
    <row r="29" customFormat="false" ht="24.85" hidden="false" customHeight="false" outlineLevel="0" collapsed="false">
      <c r="A29" s="1" t="n">
        <v>45681</v>
      </c>
      <c r="B29" s="2" t="s">
        <v>28</v>
      </c>
      <c r="C29" s="19" t="s">
        <v>62</v>
      </c>
      <c r="D29" s="2" t="n">
        <v>8</v>
      </c>
      <c r="F29" s="12"/>
      <c r="G29" s="12" t="n">
        <f aca="false">SUM(E29:F29)</f>
        <v>0</v>
      </c>
      <c r="H29" s="12" t="n">
        <v>9600</v>
      </c>
      <c r="I29" s="12" t="n">
        <f aca="false">I28+G29</f>
        <v>111339</v>
      </c>
      <c r="J29" s="1" t="n">
        <v>45681</v>
      </c>
      <c r="K29" s="2" t="s">
        <v>26</v>
      </c>
      <c r="L29" s="19" t="s">
        <v>62</v>
      </c>
      <c r="M29" s="2" t="n">
        <v>4</v>
      </c>
      <c r="N29" s="12"/>
      <c r="O29" s="37" t="n">
        <v>8640</v>
      </c>
      <c r="P29" s="12" t="n">
        <f aca="false">P28+N29</f>
        <v>6500</v>
      </c>
      <c r="Q29" s="12" t="n">
        <f aca="false">I29-P29</f>
        <v>104839</v>
      </c>
    </row>
    <row r="30" customFormat="false" ht="13.8" hidden="false" customHeight="false" outlineLevel="0" collapsed="false">
      <c r="A30" s="1" t="n">
        <v>45682</v>
      </c>
      <c r="C30" s="21"/>
      <c r="D30" s="48"/>
      <c r="F30" s="12"/>
      <c r="G30" s="12" t="n">
        <f aca="false">SUM(E30:F30)</f>
        <v>0</v>
      </c>
      <c r="H30" s="12"/>
      <c r="I30" s="12" t="n">
        <f aca="false">I29+G30</f>
        <v>111339</v>
      </c>
      <c r="J30" s="1" t="n">
        <v>45682</v>
      </c>
      <c r="K30" s="2" t="s">
        <v>38</v>
      </c>
      <c r="L30" s="14" t="s">
        <v>21</v>
      </c>
      <c r="M30" s="2" t="n">
        <v>10</v>
      </c>
      <c r="N30" s="12"/>
      <c r="O30" s="37" t="n">
        <v>960</v>
      </c>
      <c r="P30" s="12" t="n">
        <f aca="false">P29+N30</f>
        <v>6500</v>
      </c>
      <c r="Q30" s="12" t="n">
        <f aca="false">I30-P30</f>
        <v>104839</v>
      </c>
    </row>
    <row r="31" customFormat="false" ht="36.45" hidden="false" customHeight="false" outlineLevel="0" collapsed="false">
      <c r="A31" s="1" t="n">
        <v>45683</v>
      </c>
      <c r="B31" s="2" t="s">
        <v>26</v>
      </c>
      <c r="C31" s="19" t="s">
        <v>63</v>
      </c>
      <c r="D31" s="2" t="n">
        <v>4</v>
      </c>
      <c r="F31" s="12" t="n">
        <v>10000</v>
      </c>
      <c r="G31" s="12" t="n">
        <f aca="false">SUM(E31:F31)</f>
        <v>10000</v>
      </c>
      <c r="H31" s="12"/>
      <c r="I31" s="12" t="n">
        <f aca="false">I30+G31</f>
        <v>121339</v>
      </c>
      <c r="J31" s="1" t="n">
        <v>45683</v>
      </c>
      <c r="L31" s="14" t="s">
        <v>21</v>
      </c>
      <c r="N31" s="12"/>
      <c r="O31" s="12"/>
      <c r="P31" s="12" t="n">
        <f aca="false">P30+N31</f>
        <v>6500</v>
      </c>
      <c r="Q31" s="12" t="n">
        <f aca="false">I31-P31</f>
        <v>114839</v>
      </c>
    </row>
    <row r="32" customFormat="false" ht="12.8" hidden="false" customHeight="false" outlineLevel="0" collapsed="false">
      <c r="A32" s="1" t="n">
        <v>45684</v>
      </c>
      <c r="C32" s="14"/>
      <c r="F32" s="12"/>
      <c r="G32" s="12" t="n">
        <f aca="false">SUM(E32:F32)</f>
        <v>0</v>
      </c>
      <c r="H32" s="12"/>
      <c r="I32" s="12" t="n">
        <f aca="false">I31+G32</f>
        <v>121339</v>
      </c>
      <c r="J32" s="1" t="n">
        <v>45684</v>
      </c>
      <c r="N32" s="12"/>
      <c r="O32" s="12"/>
      <c r="P32" s="12" t="n">
        <f aca="false">P31+N32</f>
        <v>6500</v>
      </c>
      <c r="Q32" s="12" t="n">
        <f aca="false">I32-P32</f>
        <v>114839</v>
      </c>
    </row>
    <row r="33" customFormat="false" ht="12.8" hidden="false" customHeight="false" outlineLevel="0" collapsed="false">
      <c r="A33" s="1" t="n">
        <v>45685</v>
      </c>
      <c r="F33" s="12"/>
      <c r="G33" s="12" t="n">
        <f aca="false">SUM(E33:F33)</f>
        <v>0</v>
      </c>
      <c r="H33" s="12"/>
      <c r="I33" s="12" t="n">
        <f aca="false">I32+G33</f>
        <v>121339</v>
      </c>
      <c r="J33" s="1" t="n">
        <v>45685</v>
      </c>
      <c r="N33" s="12"/>
      <c r="O33" s="12"/>
      <c r="P33" s="12" t="n">
        <f aca="false">P32+N33</f>
        <v>6500</v>
      </c>
      <c r="Q33" s="12" t="n">
        <f aca="false">I33-P33</f>
        <v>114839</v>
      </c>
    </row>
    <row r="34" customFormat="false" ht="12.8" hidden="false" customHeight="false" outlineLevel="0" collapsed="false">
      <c r="A34" s="1" t="n">
        <v>45686</v>
      </c>
      <c r="F34" s="12"/>
      <c r="G34" s="12" t="n">
        <f aca="false">SUM(E34:F34)</f>
        <v>0</v>
      </c>
      <c r="H34" s="12"/>
      <c r="I34" s="12" t="n">
        <f aca="false">I33+G34</f>
        <v>121339</v>
      </c>
      <c r="J34" s="1" t="n">
        <v>45686</v>
      </c>
      <c r="N34" s="12"/>
      <c r="O34" s="12"/>
      <c r="P34" s="12" t="n">
        <f aca="false">P33+N34</f>
        <v>6500</v>
      </c>
      <c r="Q34" s="12" t="n">
        <f aca="false">I34-P34</f>
        <v>114839</v>
      </c>
    </row>
    <row r="35" customFormat="false" ht="12.8" hidden="false" customHeight="false" outlineLevel="0" collapsed="false">
      <c r="A35" s="1" t="n">
        <v>45687</v>
      </c>
      <c r="F35" s="12"/>
      <c r="G35" s="12" t="n">
        <f aca="false">SUM(E35:F35)</f>
        <v>0</v>
      </c>
      <c r="H35" s="12"/>
      <c r="I35" s="12" t="n">
        <f aca="false">I34+G35</f>
        <v>121339</v>
      </c>
      <c r="J35" s="1" t="n">
        <v>45687</v>
      </c>
      <c r="N35" s="12"/>
      <c r="O35" s="12"/>
      <c r="P35" s="12" t="n">
        <f aca="false">P34+N35</f>
        <v>6500</v>
      </c>
      <c r="Q35" s="12" t="n">
        <f aca="false">I35-P35</f>
        <v>114839</v>
      </c>
    </row>
    <row r="36" customFormat="false" ht="12.8" hidden="false" customHeight="false" outlineLevel="0" collapsed="false">
      <c r="A36" s="1" t="n">
        <v>45688</v>
      </c>
      <c r="F36" s="12"/>
      <c r="G36" s="12" t="n">
        <f aca="false">SUM(E36:F36)</f>
        <v>0</v>
      </c>
      <c r="H36" s="12"/>
      <c r="I36" s="12" t="n">
        <f aca="false">I35+G36</f>
        <v>121339</v>
      </c>
      <c r="J36" s="1" t="n">
        <v>45688</v>
      </c>
      <c r="K36" s="2" t="s">
        <v>19</v>
      </c>
      <c r="L36" s="2" t="s">
        <v>34</v>
      </c>
      <c r="N36" s="12" t="n">
        <f aca="false">Q35</f>
        <v>114839</v>
      </c>
      <c r="O36" s="12"/>
      <c r="P36" s="12" t="n">
        <f aca="false">P35+N36</f>
        <v>121339</v>
      </c>
      <c r="Q36" s="12" t="n">
        <f aca="false">I36-P36</f>
        <v>0</v>
      </c>
    </row>
    <row r="37" customFormat="false" ht="12.8" hidden="false" customHeight="false" outlineLevel="0" collapsed="false">
      <c r="A37" s="1" t="n">
        <v>45688</v>
      </c>
      <c r="F37" s="12"/>
      <c r="G37" s="12"/>
      <c r="H37" s="12"/>
      <c r="I37" s="12"/>
      <c r="J37" s="1" t="n">
        <v>45688</v>
      </c>
      <c r="N37" s="12"/>
      <c r="O37" s="12"/>
      <c r="P37" s="12"/>
      <c r="Q37" s="12"/>
    </row>
    <row r="38" customFormat="false" ht="12.8" hidden="false" customHeight="false" outlineLevel="0" collapsed="false">
      <c r="F38" s="12"/>
      <c r="G38" s="12"/>
      <c r="H38" s="12"/>
      <c r="I38" s="12"/>
      <c r="N38" s="12"/>
      <c r="O38" s="12"/>
      <c r="P38" s="12"/>
      <c r="Q38" s="12"/>
    </row>
    <row r="39" customFormat="false" ht="12.8" hidden="false" customHeight="false" outlineLevel="0" collapsed="false">
      <c r="F39" s="12"/>
      <c r="G39" s="12"/>
      <c r="H39" s="12" t="n">
        <f aca="false">SUM(H6:H36)</f>
        <v>14748</v>
      </c>
      <c r="I39" s="12"/>
      <c r="N39" s="12"/>
      <c r="O39" s="12" t="n">
        <f aca="false">SUM(O6:O36)</f>
        <v>14748</v>
      </c>
      <c r="P39" s="12"/>
      <c r="Q39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20" activeCellId="0" sqref="L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10.13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1.68"/>
    <col collapsed="false" customWidth="true" hidden="false" outlineLevel="0" max="15" min="15" style="3" width="10.13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Feb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45689</v>
      </c>
      <c r="B6" s="2" t="s">
        <v>19</v>
      </c>
      <c r="C6" s="2" t="s">
        <v>20</v>
      </c>
      <c r="F6" s="12" t="n">
        <f aca="false">Jan!N36</f>
        <v>114839</v>
      </c>
      <c r="G6" s="12" t="n">
        <f aca="false">Jan!N36</f>
        <v>114839</v>
      </c>
      <c r="H6" s="12"/>
      <c r="I6" s="12" t="n">
        <f aca="false">I5+G6</f>
        <v>114839</v>
      </c>
      <c r="J6" s="1" t="n">
        <v>45689</v>
      </c>
      <c r="N6" s="12"/>
      <c r="O6" s="12"/>
      <c r="P6" s="12" t="n">
        <f aca="false">P5+N6</f>
        <v>0</v>
      </c>
      <c r="Q6" s="12" t="n">
        <f aca="false">I6-P6</f>
        <v>114839</v>
      </c>
    </row>
    <row r="7" customFormat="false" ht="12.8" hidden="false" customHeight="false" outlineLevel="0" collapsed="false">
      <c r="A7" s="1" t="n">
        <v>45690</v>
      </c>
      <c r="F7" s="12"/>
      <c r="G7" s="12" t="n">
        <f aca="false">SUM(E7:F7)</f>
        <v>0</v>
      </c>
      <c r="H7" s="12"/>
      <c r="I7" s="12" t="n">
        <f aca="false">I6+G7</f>
        <v>114839</v>
      </c>
      <c r="J7" s="1" t="n">
        <v>45690</v>
      </c>
      <c r="K7" s="2" t="s">
        <v>22</v>
      </c>
      <c r="L7" s="2" t="s">
        <v>23</v>
      </c>
      <c r="M7" s="2" t="n">
        <v>9</v>
      </c>
      <c r="N7" s="12" t="n">
        <v>3000</v>
      </c>
      <c r="O7" s="12"/>
      <c r="P7" s="12" t="n">
        <f aca="false">P6+N7</f>
        <v>3000</v>
      </c>
      <c r="Q7" s="12" t="n">
        <f aca="false">I7-P7</f>
        <v>111839</v>
      </c>
    </row>
    <row r="8" customFormat="false" ht="12.8" hidden="false" customHeight="false" outlineLevel="0" collapsed="false">
      <c r="A8" s="1" t="n">
        <v>45691</v>
      </c>
      <c r="F8" s="12"/>
      <c r="G8" s="12" t="n">
        <f aca="false">SUM(E8:F8)</f>
        <v>0</v>
      </c>
      <c r="H8" s="12"/>
      <c r="I8" s="12" t="n">
        <f aca="false">I7+G8</f>
        <v>114839</v>
      </c>
      <c r="J8" s="1" t="n">
        <v>45691</v>
      </c>
      <c r="N8" s="12"/>
      <c r="O8" s="12"/>
      <c r="P8" s="12" t="n">
        <f aca="false">P7+N8</f>
        <v>3000</v>
      </c>
      <c r="Q8" s="12" t="n">
        <f aca="false">I8-P8</f>
        <v>111839</v>
      </c>
    </row>
    <row r="9" customFormat="false" ht="13.8" hidden="false" customHeight="false" outlineLevel="0" collapsed="false">
      <c r="A9" s="1" t="n">
        <v>45692</v>
      </c>
      <c r="C9" s="21"/>
      <c r="D9" s="20"/>
      <c r="F9" s="12"/>
      <c r="G9" s="12" t="n">
        <f aca="false">SUM(E9:F9)</f>
        <v>0</v>
      </c>
      <c r="H9" s="12"/>
      <c r="I9" s="12" t="n">
        <f aca="false">I8+G9</f>
        <v>114839</v>
      </c>
      <c r="J9" s="1" t="n">
        <v>45692</v>
      </c>
      <c r="L9" s="14"/>
      <c r="N9" s="12"/>
      <c r="O9" s="37"/>
      <c r="P9" s="12" t="n">
        <f aca="false">P8+N9</f>
        <v>3000</v>
      </c>
      <c r="Q9" s="12" t="n">
        <f aca="false">I9-P9</f>
        <v>111839</v>
      </c>
    </row>
    <row r="10" customFormat="false" ht="48.05" hidden="false" customHeight="false" outlineLevel="0" collapsed="false">
      <c r="A10" s="1" t="n">
        <v>45693</v>
      </c>
      <c r="B10" s="2" t="s">
        <v>28</v>
      </c>
      <c r="C10" s="16" t="s">
        <v>64</v>
      </c>
      <c r="F10" s="12"/>
      <c r="G10" s="12" t="n">
        <f aca="false">SUM(E10:F10)</f>
        <v>0</v>
      </c>
      <c r="H10" s="12" t="n">
        <v>300</v>
      </c>
      <c r="I10" s="12" t="n">
        <f aca="false">I9+G10</f>
        <v>114839</v>
      </c>
      <c r="J10" s="1" t="n">
        <v>45693</v>
      </c>
      <c r="K10" s="2" t="s">
        <v>26</v>
      </c>
      <c r="L10" s="16" t="s">
        <v>64</v>
      </c>
      <c r="M10" s="2" t="n">
        <v>11</v>
      </c>
      <c r="N10" s="12"/>
      <c r="O10" s="12" t="n">
        <v>300</v>
      </c>
      <c r="P10" s="12" t="n">
        <f aca="false">P9+N10</f>
        <v>3000</v>
      </c>
      <c r="Q10" s="12" t="n">
        <f aca="false">I10-P10</f>
        <v>111839</v>
      </c>
    </row>
    <row r="11" customFormat="false" ht="12.8" hidden="false" customHeight="false" outlineLevel="0" collapsed="false">
      <c r="A11" s="1" t="n">
        <v>45694</v>
      </c>
      <c r="C11" s="14"/>
      <c r="F11" s="12"/>
      <c r="G11" s="12" t="n">
        <f aca="false">SUM(E11:F11)</f>
        <v>0</v>
      </c>
      <c r="H11" s="12"/>
      <c r="I11" s="12" t="n">
        <f aca="false">I10+G11</f>
        <v>114839</v>
      </c>
      <c r="J11" s="1" t="n">
        <v>45694</v>
      </c>
      <c r="L11" s="14"/>
      <c r="N11" s="12"/>
      <c r="O11" s="12"/>
      <c r="P11" s="12" t="n">
        <f aca="false">P10+N11</f>
        <v>3000</v>
      </c>
      <c r="Q11" s="12" t="n">
        <f aca="false">I11-P11</f>
        <v>111839</v>
      </c>
    </row>
    <row r="12" customFormat="false" ht="12.8" hidden="false" customHeight="false" outlineLevel="0" collapsed="false">
      <c r="A12" s="1" t="n">
        <v>45695</v>
      </c>
      <c r="C12" s="19"/>
      <c r="F12" s="12"/>
      <c r="G12" s="12" t="n">
        <f aca="false">SUM(E12:F12)</f>
        <v>0</v>
      </c>
      <c r="H12" s="12"/>
      <c r="I12" s="12" t="n">
        <f aca="false">I11+G12</f>
        <v>114839</v>
      </c>
      <c r="J12" s="1" t="n">
        <v>45695</v>
      </c>
      <c r="K12" s="35"/>
      <c r="L12" s="19"/>
      <c r="N12" s="12"/>
      <c r="O12" s="12"/>
      <c r="P12" s="12" t="n">
        <f aca="false">P11+N12</f>
        <v>3000</v>
      </c>
      <c r="Q12" s="12" t="n">
        <f aca="false">I12-P12</f>
        <v>111839</v>
      </c>
    </row>
    <row r="13" customFormat="false" ht="12.8" hidden="false" customHeight="false" outlineLevel="0" collapsed="false">
      <c r="A13" s="1" t="n">
        <v>45696</v>
      </c>
      <c r="F13" s="12"/>
      <c r="G13" s="12" t="n">
        <f aca="false">SUM(E13:F13)</f>
        <v>0</v>
      </c>
      <c r="H13" s="12"/>
      <c r="I13" s="12" t="n">
        <f aca="false">I12+G13</f>
        <v>114839</v>
      </c>
      <c r="J13" s="1" t="n">
        <v>45696</v>
      </c>
      <c r="K13" s="35"/>
      <c r="O13" s="12"/>
      <c r="P13" s="12" t="n">
        <f aca="false">P12+N13</f>
        <v>3000</v>
      </c>
      <c r="Q13" s="12" t="n">
        <f aca="false">I13-P13</f>
        <v>111839</v>
      </c>
    </row>
    <row r="14" customFormat="false" ht="12.8" hidden="false" customHeight="false" outlineLevel="0" collapsed="false">
      <c r="A14" s="1" t="n">
        <v>45697</v>
      </c>
      <c r="B14" s="47"/>
      <c r="C14" s="19"/>
      <c r="F14" s="12"/>
      <c r="G14" s="12" t="n">
        <f aca="false">SUM(E14:F14)</f>
        <v>0</v>
      </c>
      <c r="H14" s="12"/>
      <c r="I14" s="12" t="n">
        <f aca="false">I13+G14</f>
        <v>114839</v>
      </c>
      <c r="J14" s="1" t="n">
        <v>45697</v>
      </c>
      <c r="L14" s="19"/>
      <c r="N14" s="12"/>
      <c r="O14" s="12"/>
      <c r="P14" s="12" t="n">
        <f aca="false">P13+N14</f>
        <v>3000</v>
      </c>
      <c r="Q14" s="12" t="n">
        <f aca="false">I14-P14</f>
        <v>111839</v>
      </c>
    </row>
    <row r="15" customFormat="false" ht="12.8" hidden="false" customHeight="false" outlineLevel="0" collapsed="false">
      <c r="A15" s="1" t="n">
        <v>45698</v>
      </c>
      <c r="B15" s="47"/>
      <c r="C15" s="19"/>
      <c r="F15" s="12"/>
      <c r="G15" s="12"/>
      <c r="H15" s="12"/>
      <c r="I15" s="12" t="n">
        <f aca="false">I14+G15</f>
        <v>114839</v>
      </c>
      <c r="J15" s="1" t="n">
        <v>45698</v>
      </c>
      <c r="L15" s="19"/>
      <c r="N15" s="12"/>
      <c r="O15" s="12"/>
      <c r="P15" s="12" t="n">
        <f aca="false">P14+N15</f>
        <v>3000</v>
      </c>
      <c r="Q15" s="12" t="n">
        <f aca="false">I15-P15</f>
        <v>111839</v>
      </c>
    </row>
    <row r="16" s="2" customFormat="true" ht="12.8" hidden="false" customHeight="false" outlineLevel="0" collapsed="false">
      <c r="A16" s="1" t="n">
        <v>45699</v>
      </c>
      <c r="F16" s="12"/>
      <c r="G16" s="12" t="n">
        <f aca="false">SUM(E16:F16)</f>
        <v>0</v>
      </c>
      <c r="H16" s="12"/>
      <c r="I16" s="12" t="n">
        <f aca="false">I15+G16</f>
        <v>114839</v>
      </c>
      <c r="J16" s="1" t="n">
        <v>45699</v>
      </c>
      <c r="L16" s="2" t="s">
        <v>21</v>
      </c>
      <c r="N16" s="12"/>
      <c r="P16" s="12" t="n">
        <f aca="false">P15+N16</f>
        <v>3000</v>
      </c>
      <c r="Q16" s="12" t="n">
        <f aca="false">I16-P16</f>
        <v>111839</v>
      </c>
    </row>
    <row r="17" customFormat="false" ht="12.8" hidden="false" customHeight="false" outlineLevel="0" collapsed="false">
      <c r="A17" s="1" t="n">
        <v>45700</v>
      </c>
      <c r="F17" s="12"/>
      <c r="G17" s="12" t="n">
        <f aca="false">SUM(E17:F17)</f>
        <v>0</v>
      </c>
      <c r="H17" s="12"/>
      <c r="I17" s="12" t="n">
        <f aca="false">I16+G17</f>
        <v>114839</v>
      </c>
      <c r="J17" s="1" t="n">
        <v>45700</v>
      </c>
      <c r="N17" s="12"/>
      <c r="O17" s="12"/>
      <c r="P17" s="12" t="n">
        <f aca="false">P16+N17</f>
        <v>3000</v>
      </c>
      <c r="Q17" s="12" t="n">
        <f aca="false">I17-P17</f>
        <v>111839</v>
      </c>
    </row>
    <row r="18" customFormat="false" ht="36.45" hidden="false" customHeight="false" outlineLevel="0" collapsed="false">
      <c r="A18" s="1" t="n">
        <v>45701</v>
      </c>
      <c r="B18" s="2" t="s">
        <v>28</v>
      </c>
      <c r="C18" s="16" t="s">
        <v>65</v>
      </c>
      <c r="F18" s="12"/>
      <c r="G18" s="12" t="n">
        <f aca="false">SUM(E18:F18)</f>
        <v>0</v>
      </c>
      <c r="H18" s="12" t="n">
        <f aca="false">41130*1.1</f>
        <v>45243</v>
      </c>
      <c r="I18" s="12" t="n">
        <f aca="false">I17+G18</f>
        <v>114839</v>
      </c>
      <c r="J18" s="1" t="n">
        <v>45701</v>
      </c>
      <c r="K18" s="2" t="s">
        <v>26</v>
      </c>
      <c r="L18" s="16" t="s">
        <v>65</v>
      </c>
      <c r="N18" s="12"/>
      <c r="O18" s="12" t="n">
        <v>41130</v>
      </c>
      <c r="P18" s="12" t="n">
        <f aca="false">P17+N18</f>
        <v>3000</v>
      </c>
      <c r="Q18" s="12" t="n">
        <f aca="false">I18-P18</f>
        <v>111839</v>
      </c>
    </row>
    <row r="19" customFormat="false" ht="13.8" hidden="false" customHeight="false" outlineLevel="0" collapsed="false">
      <c r="A19" s="1" t="n">
        <v>45701</v>
      </c>
      <c r="C19" s="52"/>
      <c r="F19" s="12"/>
      <c r="G19" s="12" t="n">
        <f aca="false">SUM(E19:F19)</f>
        <v>0</v>
      </c>
      <c r="H19" s="12"/>
      <c r="I19" s="12" t="n">
        <f aca="false">I18+G19</f>
        <v>114839</v>
      </c>
      <c r="J19" s="1" t="n">
        <v>45701</v>
      </c>
      <c r="K19" s="2" t="s">
        <v>38</v>
      </c>
      <c r="L19" s="52" t="s">
        <v>21</v>
      </c>
      <c r="O19" s="12" t="n">
        <v>4113</v>
      </c>
      <c r="P19" s="12" t="n">
        <f aca="false">P18+N19</f>
        <v>3000</v>
      </c>
      <c r="Q19" s="12" t="n">
        <f aca="false">I19-P19</f>
        <v>111839</v>
      </c>
    </row>
    <row r="20" customFormat="false" ht="24.85" hidden="false" customHeight="false" outlineLevel="0" collapsed="false">
      <c r="A20" s="1" t="n">
        <v>45703</v>
      </c>
      <c r="B20" s="2" t="s">
        <v>26</v>
      </c>
      <c r="C20" s="19" t="s">
        <v>66</v>
      </c>
      <c r="D20" s="2" t="n">
        <v>4</v>
      </c>
      <c r="F20" s="12" t="n">
        <v>10000</v>
      </c>
      <c r="G20" s="12" t="n">
        <f aca="false">SUM(E20:F20)</f>
        <v>10000</v>
      </c>
      <c r="H20" s="12"/>
      <c r="I20" s="12" t="n">
        <f aca="false">I19+G20</f>
        <v>124839</v>
      </c>
      <c r="J20" s="1" t="n">
        <v>45703</v>
      </c>
      <c r="L20" s="19"/>
      <c r="N20" s="12"/>
      <c r="O20" s="12"/>
      <c r="P20" s="12" t="n">
        <f aca="false">P19+N20</f>
        <v>3000</v>
      </c>
      <c r="Q20" s="12" t="n">
        <f aca="false">I20-P20</f>
        <v>121839</v>
      </c>
    </row>
    <row r="21" customFormat="false" ht="12.8" hidden="false" customHeight="false" outlineLevel="0" collapsed="false">
      <c r="A21" s="1" t="n">
        <v>45704</v>
      </c>
      <c r="F21" s="12"/>
      <c r="G21" s="12" t="n">
        <f aca="false">SUM(E21:F21)</f>
        <v>0</v>
      </c>
      <c r="H21" s="12"/>
      <c r="I21" s="12" t="n">
        <f aca="false">I20+G21</f>
        <v>124839</v>
      </c>
      <c r="J21" s="1" t="n">
        <v>45704</v>
      </c>
      <c r="N21" s="12"/>
      <c r="O21" s="12"/>
      <c r="P21" s="12" t="n">
        <f aca="false">P20+N21</f>
        <v>3000</v>
      </c>
      <c r="Q21" s="12" t="n">
        <f aca="false">I21-P21</f>
        <v>121839</v>
      </c>
    </row>
    <row r="22" customFormat="false" ht="12.8" hidden="false" customHeight="false" outlineLevel="0" collapsed="false">
      <c r="A22" s="1" t="n">
        <v>45705</v>
      </c>
      <c r="F22" s="12"/>
      <c r="G22" s="12" t="n">
        <f aca="false">SUM(E22:F22)</f>
        <v>0</v>
      </c>
      <c r="H22" s="12"/>
      <c r="I22" s="12" t="n">
        <f aca="false">I21+G22</f>
        <v>124839</v>
      </c>
      <c r="J22" s="1" t="n">
        <v>45705</v>
      </c>
      <c r="N22" s="12"/>
      <c r="O22" s="12"/>
      <c r="P22" s="12" t="n">
        <f aca="false">P21+N22</f>
        <v>3000</v>
      </c>
      <c r="Q22" s="12" t="n">
        <f aca="false">I22-P22</f>
        <v>121839</v>
      </c>
    </row>
    <row r="23" customFormat="false" ht="12.8" hidden="false" customHeight="false" outlineLevel="0" collapsed="false">
      <c r="A23" s="1" t="n">
        <v>45706</v>
      </c>
      <c r="C23" s="19"/>
      <c r="F23" s="12"/>
      <c r="G23" s="12" t="n">
        <f aca="false">SUM(E23:F23)</f>
        <v>0</v>
      </c>
      <c r="H23" s="12"/>
      <c r="I23" s="12" t="n">
        <f aca="false">I22+G23</f>
        <v>124839</v>
      </c>
      <c r="J23" s="1" t="n">
        <v>45706</v>
      </c>
      <c r="L23" s="19"/>
      <c r="N23" s="12"/>
      <c r="O23" s="12"/>
      <c r="P23" s="12" t="n">
        <f aca="false">P22+N23</f>
        <v>3000</v>
      </c>
      <c r="Q23" s="12" t="n">
        <f aca="false">I23-P23</f>
        <v>121839</v>
      </c>
    </row>
    <row r="24" customFormat="false" ht="12.8" hidden="false" customHeight="false" outlineLevel="0" collapsed="false">
      <c r="A24" s="1" t="n">
        <v>45707</v>
      </c>
      <c r="F24" s="12"/>
      <c r="G24" s="12" t="n">
        <f aca="false">SUM(E24:F24)</f>
        <v>0</v>
      </c>
      <c r="H24" s="12"/>
      <c r="I24" s="12" t="n">
        <f aca="false">I23+G24</f>
        <v>124839</v>
      </c>
      <c r="J24" s="1" t="n">
        <v>45707</v>
      </c>
      <c r="N24" s="12"/>
      <c r="O24" s="12"/>
      <c r="P24" s="12" t="n">
        <f aca="false">P23+N24</f>
        <v>3000</v>
      </c>
      <c r="Q24" s="12" t="n">
        <f aca="false">I24-P24</f>
        <v>121839</v>
      </c>
    </row>
    <row r="25" customFormat="false" ht="12.8" hidden="false" customHeight="false" outlineLevel="0" collapsed="false">
      <c r="A25" s="1" t="n">
        <v>45708</v>
      </c>
      <c r="C25" s="19"/>
      <c r="F25" s="12"/>
      <c r="G25" s="12" t="n">
        <f aca="false">SUM(E25:F25)</f>
        <v>0</v>
      </c>
      <c r="H25" s="12"/>
      <c r="I25" s="12" t="n">
        <f aca="false">I24+G25</f>
        <v>124839</v>
      </c>
      <c r="J25" s="1" t="n">
        <v>45708</v>
      </c>
      <c r="L25" s="19"/>
      <c r="N25" s="12"/>
      <c r="O25" s="12"/>
      <c r="P25" s="12" t="n">
        <f aca="false">P24+N25</f>
        <v>3000</v>
      </c>
      <c r="Q25" s="12" t="n">
        <f aca="false">I25-P25</f>
        <v>121839</v>
      </c>
    </row>
    <row r="26" customFormat="false" ht="12.8" hidden="false" customHeight="false" outlineLevel="0" collapsed="false">
      <c r="A26" s="1" t="n">
        <v>45709</v>
      </c>
      <c r="C26" s="19"/>
      <c r="F26" s="12"/>
      <c r="G26" s="12" t="n">
        <f aca="false">SUM(E26:F26)</f>
        <v>0</v>
      </c>
      <c r="H26" s="12"/>
      <c r="I26" s="12" t="n">
        <f aca="false">I25+G26</f>
        <v>124839</v>
      </c>
      <c r="J26" s="1" t="n">
        <v>45709</v>
      </c>
      <c r="N26" s="12"/>
      <c r="O26" s="12"/>
      <c r="P26" s="12" t="n">
        <f aca="false">P25+N26</f>
        <v>3000</v>
      </c>
      <c r="Q26" s="12" t="n">
        <f aca="false">I26-P26</f>
        <v>121839</v>
      </c>
    </row>
    <row r="27" customFormat="false" ht="12.8" hidden="false" customHeight="false" outlineLevel="0" collapsed="false">
      <c r="A27" s="1" t="n">
        <v>45710</v>
      </c>
      <c r="F27" s="12"/>
      <c r="G27" s="12" t="n">
        <f aca="false">SUM(E27:F27)</f>
        <v>0</v>
      </c>
      <c r="H27" s="12"/>
      <c r="I27" s="12" t="n">
        <f aca="false">I26+G27</f>
        <v>124839</v>
      </c>
      <c r="J27" s="1" t="n">
        <v>45710</v>
      </c>
      <c r="N27" s="12"/>
      <c r="O27" s="12"/>
      <c r="P27" s="12" t="n">
        <f aca="false">P26+N27</f>
        <v>3000</v>
      </c>
      <c r="Q27" s="12" t="n">
        <f aca="false">I27-P27</f>
        <v>121839</v>
      </c>
    </row>
    <row r="28" customFormat="false" ht="12.8" hidden="false" customHeight="false" outlineLevel="0" collapsed="false">
      <c r="A28" s="1" t="n">
        <v>45711</v>
      </c>
      <c r="F28" s="12"/>
      <c r="G28" s="12" t="n">
        <f aca="false">SUM(E28:F28)</f>
        <v>0</v>
      </c>
      <c r="H28" s="12"/>
      <c r="I28" s="12" t="n">
        <f aca="false">I27+G28</f>
        <v>124839</v>
      </c>
      <c r="J28" s="1" t="n">
        <v>45711</v>
      </c>
      <c r="K28" s="2" t="s">
        <v>22</v>
      </c>
      <c r="L28" s="2" t="s">
        <v>32</v>
      </c>
      <c r="M28" s="2" t="n">
        <v>9</v>
      </c>
      <c r="N28" s="12" t="n">
        <v>3000</v>
      </c>
      <c r="O28" s="12"/>
      <c r="P28" s="12" t="n">
        <f aca="false">P27+N28</f>
        <v>6000</v>
      </c>
      <c r="Q28" s="12" t="n">
        <f aca="false">I28-P28</f>
        <v>118839</v>
      </c>
    </row>
    <row r="29" customFormat="false" ht="12.8" hidden="false" customHeight="false" outlineLevel="0" collapsed="false">
      <c r="A29" s="1" t="n">
        <v>45712</v>
      </c>
      <c r="C29" s="19"/>
      <c r="F29" s="12"/>
      <c r="G29" s="12" t="n">
        <f aca="false">SUM(E29:F29)</f>
        <v>0</v>
      </c>
      <c r="H29" s="12"/>
      <c r="I29" s="12" t="n">
        <f aca="false">I28+G29</f>
        <v>124839</v>
      </c>
      <c r="J29" s="1" t="n">
        <v>45712</v>
      </c>
      <c r="L29" s="19"/>
      <c r="O29" s="12"/>
      <c r="P29" s="12" t="n">
        <f aca="false">P28+N29</f>
        <v>6000</v>
      </c>
      <c r="Q29" s="12" t="n">
        <f aca="false">I29-P29</f>
        <v>118839</v>
      </c>
    </row>
    <row r="30" customFormat="false" ht="12.8" hidden="false" customHeight="false" outlineLevel="0" collapsed="false">
      <c r="A30" s="1" t="n">
        <v>45713</v>
      </c>
      <c r="F30" s="12"/>
      <c r="G30" s="12" t="n">
        <f aca="false">SUM(E30:F30)</f>
        <v>0</v>
      </c>
      <c r="H30" s="12"/>
      <c r="I30" s="12" t="n">
        <f aca="false">I29+G30</f>
        <v>124839</v>
      </c>
      <c r="J30" s="1" t="n">
        <v>45713</v>
      </c>
      <c r="N30" s="12"/>
      <c r="O30" s="12"/>
      <c r="P30" s="12" t="n">
        <f aca="false">P29+N30</f>
        <v>6000</v>
      </c>
      <c r="Q30" s="12" t="n">
        <f aca="false">I30-P30</f>
        <v>118839</v>
      </c>
    </row>
    <row r="31" customFormat="false" ht="12.8" hidden="false" customHeight="false" outlineLevel="0" collapsed="false">
      <c r="A31" s="1" t="n">
        <v>45714</v>
      </c>
      <c r="C31" s="19"/>
      <c r="F31" s="12"/>
      <c r="G31" s="12" t="n">
        <f aca="false">SUM(E31:F31)</f>
        <v>0</v>
      </c>
      <c r="H31" s="12"/>
      <c r="I31" s="12" t="n">
        <f aca="false">I30+G31</f>
        <v>124839</v>
      </c>
      <c r="J31" s="1" t="n">
        <v>45714</v>
      </c>
      <c r="L31" s="19"/>
      <c r="N31" s="12"/>
      <c r="O31" s="12"/>
      <c r="P31" s="12" t="n">
        <f aca="false">P30+N31</f>
        <v>6000</v>
      </c>
      <c r="Q31" s="12" t="n">
        <f aca="false">I31-P31</f>
        <v>118839</v>
      </c>
    </row>
    <row r="32" customFormat="false" ht="12.8" hidden="false" customHeight="false" outlineLevel="0" collapsed="false">
      <c r="A32" s="1" t="n">
        <v>45715</v>
      </c>
      <c r="F32" s="12"/>
      <c r="G32" s="12" t="n">
        <f aca="false">SUM(E32:F32)</f>
        <v>0</v>
      </c>
      <c r="H32" s="12"/>
      <c r="I32" s="12" t="n">
        <f aca="false">I31+G32</f>
        <v>124839</v>
      </c>
      <c r="J32" s="1" t="n">
        <v>45715</v>
      </c>
      <c r="N32" s="12"/>
      <c r="O32" s="12"/>
      <c r="P32" s="12" t="n">
        <f aca="false">P31+N32</f>
        <v>6000</v>
      </c>
      <c r="Q32" s="12" t="n">
        <f aca="false">I32-P32</f>
        <v>118839</v>
      </c>
    </row>
    <row r="33" customFormat="false" ht="12.8" hidden="false" customHeight="false" outlineLevel="0" collapsed="false">
      <c r="A33" s="1" t="n">
        <v>45716</v>
      </c>
      <c r="F33" s="12"/>
      <c r="G33" s="12" t="n">
        <f aca="false">SUM(E33:F33)</f>
        <v>0</v>
      </c>
      <c r="H33" s="12"/>
      <c r="I33" s="12" t="n">
        <f aca="false">I32+G33</f>
        <v>124839</v>
      </c>
      <c r="J33" s="1" t="n">
        <v>45716</v>
      </c>
      <c r="N33" s="12"/>
      <c r="O33" s="12"/>
      <c r="P33" s="12" t="n">
        <f aca="false">P32+N33</f>
        <v>6000</v>
      </c>
      <c r="Q33" s="12" t="n">
        <f aca="false">I33-P33</f>
        <v>118839</v>
      </c>
    </row>
    <row r="34" customFormat="false" ht="12.8" hidden="false" customHeight="false" outlineLevel="0" collapsed="false">
      <c r="A34" s="1" t="n">
        <v>45716</v>
      </c>
      <c r="F34" s="12"/>
      <c r="G34" s="12" t="n">
        <f aca="false">SUM(E34:F34)</f>
        <v>0</v>
      </c>
      <c r="H34" s="12"/>
      <c r="I34" s="12" t="n">
        <f aca="false">I33+G34</f>
        <v>124839</v>
      </c>
      <c r="J34" s="1" t="n">
        <v>45716</v>
      </c>
      <c r="N34" s="12"/>
      <c r="O34" s="12"/>
      <c r="P34" s="12" t="n">
        <f aca="false">P33+N34</f>
        <v>6000</v>
      </c>
      <c r="Q34" s="12" t="n">
        <f aca="false">I34-P34</f>
        <v>118839</v>
      </c>
    </row>
    <row r="35" customFormat="false" ht="12.8" hidden="false" customHeight="false" outlineLevel="0" collapsed="false">
      <c r="A35" s="1" t="n">
        <v>45716</v>
      </c>
      <c r="B35" s="47"/>
      <c r="C35" s="19"/>
      <c r="F35" s="12"/>
      <c r="G35" s="12" t="n">
        <f aca="false">SUM(E35:F35)</f>
        <v>0</v>
      </c>
      <c r="H35" s="12"/>
      <c r="I35" s="12" t="n">
        <f aca="false">I34+G35</f>
        <v>124839</v>
      </c>
      <c r="J35" s="1" t="n">
        <v>45716</v>
      </c>
      <c r="L35" s="19"/>
      <c r="N35" s="12"/>
      <c r="O35" s="12"/>
      <c r="P35" s="12" t="n">
        <f aca="false">P34+N35</f>
        <v>6000</v>
      </c>
      <c r="Q35" s="12" t="n">
        <f aca="false">I35-P35</f>
        <v>118839</v>
      </c>
    </row>
    <row r="36" customFormat="false" ht="12.8" hidden="false" customHeight="false" outlineLevel="0" collapsed="false">
      <c r="A36" s="1" t="n">
        <v>45716</v>
      </c>
      <c r="B36" s="47"/>
      <c r="C36" s="19"/>
      <c r="F36" s="12"/>
      <c r="G36" s="12"/>
      <c r="H36" s="12"/>
      <c r="I36" s="12"/>
      <c r="J36" s="1" t="n">
        <v>45716</v>
      </c>
      <c r="N36" s="12"/>
      <c r="O36" s="12"/>
      <c r="P36" s="12"/>
      <c r="Q36" s="12"/>
    </row>
    <row r="37" s="2" customFormat="true" ht="12.8" hidden="false" customHeight="false" outlineLevel="0" collapsed="false">
      <c r="A37" s="1" t="n">
        <v>45716</v>
      </c>
      <c r="F37" s="12"/>
      <c r="G37" s="12" t="n">
        <f aca="false">SUM(E37:F37)</f>
        <v>0</v>
      </c>
      <c r="H37" s="12"/>
      <c r="I37" s="12" t="n">
        <f aca="false">I35+G37</f>
        <v>124839</v>
      </c>
      <c r="J37" s="1" t="n">
        <v>45716</v>
      </c>
      <c r="P37" s="12" t="n">
        <f aca="false">P35+N36</f>
        <v>6000</v>
      </c>
      <c r="Q37" s="12" t="n">
        <f aca="false">I37-P37</f>
        <v>118839</v>
      </c>
    </row>
    <row r="38" customFormat="false" ht="12.8" hidden="false" customHeight="false" outlineLevel="0" collapsed="false">
      <c r="A38" s="1" t="n">
        <v>45716</v>
      </c>
      <c r="F38" s="12"/>
      <c r="G38" s="12" t="n">
        <f aca="false">SUM(E38:F38)</f>
        <v>0</v>
      </c>
      <c r="H38" s="12"/>
      <c r="I38" s="12" t="n">
        <f aca="false">I37+G38</f>
        <v>124839</v>
      </c>
      <c r="J38" s="1" t="n">
        <v>45716</v>
      </c>
      <c r="N38" s="12"/>
      <c r="O38" s="12"/>
      <c r="P38" s="12" t="n">
        <f aca="false">P37+N38</f>
        <v>6000</v>
      </c>
      <c r="Q38" s="12" t="n">
        <f aca="false">I38-P38</f>
        <v>118839</v>
      </c>
    </row>
    <row r="39" customFormat="false" ht="12.8" hidden="false" customHeight="false" outlineLevel="0" collapsed="false">
      <c r="A39" s="1" t="n">
        <v>45716</v>
      </c>
      <c r="F39" s="12"/>
      <c r="G39" s="12" t="n">
        <f aca="false">SUM(E39:F39)</f>
        <v>0</v>
      </c>
      <c r="H39" s="12"/>
      <c r="I39" s="12" t="n">
        <f aca="false">I38+G39</f>
        <v>124839</v>
      </c>
      <c r="J39" s="1" t="n">
        <v>45716</v>
      </c>
      <c r="N39" s="12"/>
      <c r="O39" s="12"/>
      <c r="P39" s="12" t="n">
        <f aca="false">P38+N39</f>
        <v>6000</v>
      </c>
      <c r="Q39" s="12" t="n">
        <f aca="false">I39-P39</f>
        <v>118839</v>
      </c>
    </row>
    <row r="40" customFormat="false" ht="12.8" hidden="false" customHeight="false" outlineLevel="0" collapsed="false">
      <c r="A40" s="1" t="n">
        <v>45716</v>
      </c>
      <c r="F40" s="12"/>
      <c r="G40" s="12" t="n">
        <f aca="false">SUM(E40:F40)</f>
        <v>0</v>
      </c>
      <c r="H40" s="12"/>
      <c r="I40" s="12" t="n">
        <f aca="false">I39+G40</f>
        <v>124839</v>
      </c>
      <c r="J40" s="1" t="n">
        <v>45716</v>
      </c>
      <c r="N40" s="12"/>
      <c r="O40" s="12"/>
      <c r="P40" s="12" t="n">
        <f aca="false">P39+N40</f>
        <v>6000</v>
      </c>
      <c r="Q40" s="12" t="n">
        <f aca="false">I40-P40</f>
        <v>118839</v>
      </c>
    </row>
    <row r="41" customFormat="false" ht="12.8" hidden="false" customHeight="false" outlineLevel="0" collapsed="false">
      <c r="A41" s="1" t="n">
        <v>45716</v>
      </c>
      <c r="G41" s="12" t="n">
        <f aca="false">SUM(E41:F41)</f>
        <v>0</v>
      </c>
      <c r="H41" s="12"/>
      <c r="I41" s="12" t="n">
        <f aca="false">I40+G41</f>
        <v>124839</v>
      </c>
      <c r="J41" s="1" t="n">
        <v>45716</v>
      </c>
      <c r="N41" s="12"/>
      <c r="O41" s="12"/>
      <c r="P41" s="12" t="n">
        <f aca="false">P40+N41</f>
        <v>6000</v>
      </c>
      <c r="Q41" s="12" t="n">
        <f aca="false">I41-P41</f>
        <v>118839</v>
      </c>
    </row>
    <row r="42" customFormat="false" ht="12.8" hidden="false" customHeight="false" outlineLevel="0" collapsed="false">
      <c r="A42" s="1" t="n">
        <v>45716</v>
      </c>
      <c r="G42" s="12" t="n">
        <f aca="false">SUM(E42:F42)</f>
        <v>0</v>
      </c>
      <c r="H42" s="12"/>
      <c r="I42" s="12" t="n">
        <f aca="false">I41+G42</f>
        <v>124839</v>
      </c>
      <c r="J42" s="1" t="n">
        <v>45716</v>
      </c>
      <c r="N42" s="12"/>
      <c r="O42" s="12"/>
      <c r="P42" s="12" t="n">
        <f aca="false">P41+N42</f>
        <v>6000</v>
      </c>
      <c r="Q42" s="12" t="n">
        <f aca="false">I42-P42</f>
        <v>118839</v>
      </c>
    </row>
    <row r="43" customFormat="false" ht="12.8" hidden="false" customHeight="false" outlineLevel="0" collapsed="false">
      <c r="A43" s="1" t="n">
        <v>45716</v>
      </c>
      <c r="G43" s="12" t="n">
        <f aca="false">SUM(E43:F43)</f>
        <v>0</v>
      </c>
      <c r="H43" s="12"/>
      <c r="I43" s="12" t="n">
        <f aca="false">I42+G43</f>
        <v>124839</v>
      </c>
      <c r="J43" s="1" t="n">
        <v>45716</v>
      </c>
      <c r="K43" s="2" t="s">
        <v>19</v>
      </c>
      <c r="L43" s="2" t="s">
        <v>34</v>
      </c>
      <c r="N43" s="12" t="n">
        <f aca="false">Q42</f>
        <v>118839</v>
      </c>
      <c r="O43" s="12"/>
      <c r="P43" s="12" t="n">
        <f aca="false">P42+N43</f>
        <v>124839</v>
      </c>
      <c r="Q43" s="12" t="n">
        <f aca="false">I43-P43</f>
        <v>0</v>
      </c>
    </row>
    <row r="44" customFormat="false" ht="12.8" hidden="false" customHeight="false" outlineLevel="0" collapsed="false">
      <c r="G44" s="12"/>
      <c r="H44" s="12"/>
      <c r="I44" s="12"/>
      <c r="N44" s="12"/>
      <c r="O44" s="12"/>
      <c r="P44" s="12"/>
      <c r="Q44" s="12"/>
    </row>
    <row r="45" customFormat="false" ht="12.8" hidden="false" customHeight="false" outlineLevel="0" collapsed="false">
      <c r="G45" s="12"/>
      <c r="H45" s="12" t="n">
        <f aca="false">SUM(H6:H43)</f>
        <v>45543</v>
      </c>
      <c r="I45" s="12"/>
      <c r="N45" s="12"/>
      <c r="O45" s="12" t="n">
        <f aca="false">SUM(O6:O43)</f>
        <v>45543</v>
      </c>
      <c r="P45" s="12"/>
      <c r="Q45" s="12"/>
    </row>
    <row r="46" customFormat="false" ht="12.8" hidden="false" customHeight="false" outlineLevel="0" collapsed="false">
      <c r="G46" s="12"/>
      <c r="I46" s="12"/>
      <c r="P46" s="12"/>
      <c r="Q46" s="12"/>
    </row>
    <row r="47" customFormat="false" ht="12.8" hidden="false" customHeight="false" outlineLevel="0" collapsed="false">
      <c r="I47" s="12"/>
      <c r="P47" s="12"/>
      <c r="Q47" s="12"/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true" showOutlineSymbols="true" defaultGridColor="true" view="normal" topLeftCell="A16" colorId="64" zoomScale="90" zoomScaleNormal="90" zoomScalePageLayoutView="100" workbookViewId="0">
      <selection pane="topLeft" activeCell="K38" activeCellId="0" sqref="K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1.83"/>
    <col collapsed="false" customWidth="true" hidden="false" outlineLevel="0" max="3" min="3" style="2" width="19.86"/>
    <col collapsed="false" customWidth="true" hidden="false" outlineLevel="0" max="4" min="4" style="2" width="7.96"/>
    <col collapsed="false" customWidth="true" hidden="false" outlineLevel="0" max="5" min="5" style="2" width="9.97"/>
    <col collapsed="false" customWidth="true" hidden="false" outlineLevel="0" max="6" min="6" style="3" width="11.68"/>
    <col collapsed="false" customWidth="true" hidden="false" outlineLevel="0" max="7" min="7" style="3" width="12.61"/>
    <col collapsed="false" customWidth="true" hidden="false" outlineLevel="0" max="8" min="8" style="3" width="9.52"/>
    <col collapsed="false" customWidth="true" hidden="false" outlineLevel="0" max="9" min="9" style="3" width="11.68"/>
    <col collapsed="false" customWidth="true" hidden="false" outlineLevel="0" max="10" min="10" style="1" width="12.91"/>
    <col collapsed="false" customWidth="true" hidden="false" outlineLevel="0" max="11" min="11" style="2" width="12.91"/>
    <col collapsed="false" customWidth="true" hidden="false" outlineLevel="0" max="12" min="12" style="2" width="19.71"/>
    <col collapsed="false" customWidth="true" hidden="false" outlineLevel="0" max="13" min="13" style="2" width="7.96"/>
    <col collapsed="false" customWidth="true" hidden="false" outlineLevel="0" max="14" min="14" style="3" width="12.61"/>
    <col collapsed="false" customWidth="true" hidden="false" outlineLevel="0" max="15" min="15" style="3" width="9.52"/>
    <col collapsed="false" customWidth="true" hidden="false" outlineLevel="0" max="17" min="16" style="3" width="11.68"/>
    <col collapsed="false" customWidth="false" hidden="false" outlineLevel="0" max="16384" min="18" style="2" width="11.53"/>
  </cols>
  <sheetData>
    <row r="1" s="5" customFormat="true" ht="12.8" hidden="false" customHeight="false" outlineLevel="0" collapsed="false">
      <c r="A1" s="4"/>
      <c r="F1" s="6"/>
      <c r="G1" s="6"/>
      <c r="H1" s="6"/>
      <c r="I1" s="6"/>
      <c r="J1" s="4"/>
      <c r="N1" s="6"/>
      <c r="O1" s="6"/>
      <c r="P1" s="6"/>
      <c r="Q1" s="6"/>
    </row>
    <row r="2" s="5" customFormat="true" ht="12.8" hidden="false" customHeight="false" outlineLevel="0" collapsed="false">
      <c r="A2" s="7" t="s">
        <v>0</v>
      </c>
      <c r="C2" s="5" t="s">
        <v>1</v>
      </c>
      <c r="D2" s="8" t="s">
        <v>2</v>
      </c>
      <c r="E2" s="9" t="s">
        <v>3</v>
      </c>
      <c r="F2" s="9"/>
      <c r="G2" s="9" t="s">
        <v>4</v>
      </c>
      <c r="H2" s="7"/>
      <c r="I2" s="5" t="s">
        <v>5</v>
      </c>
      <c r="J2" s="5" t="s">
        <v>6</v>
      </c>
      <c r="K2" s="8"/>
      <c r="L2" s="9" t="s">
        <v>7</v>
      </c>
      <c r="M2" s="9"/>
      <c r="N2" s="9" t="s">
        <v>8</v>
      </c>
      <c r="O2" s="9" t="str">
        <f aca="false">CHOOSE(MONTH(A6),"Jan","Feb","Mar","Apr","May","Jun","Jul","Aug","Sep","Oct","Nov","Dec")</f>
        <v>Mar</v>
      </c>
    </row>
    <row r="3" s="5" customFormat="true" ht="12.8" hidden="false" customHeight="false" outlineLevel="0" collapsed="false">
      <c r="A3" s="4"/>
      <c r="F3" s="6"/>
      <c r="G3" s="6"/>
      <c r="H3" s="6"/>
      <c r="I3" s="6"/>
      <c r="J3" s="4"/>
      <c r="N3" s="6"/>
      <c r="O3" s="6"/>
      <c r="P3" s="6"/>
      <c r="Q3" s="6"/>
    </row>
    <row r="4" s="5" customFormat="true" ht="12.8" hidden="false" customHeight="false" outlineLevel="0" collapsed="false">
      <c r="A4" s="7" t="s">
        <v>9</v>
      </c>
      <c r="B4" s="5" t="s">
        <v>10</v>
      </c>
      <c r="C4" s="5" t="s">
        <v>11</v>
      </c>
      <c r="D4" s="8" t="s">
        <v>12</v>
      </c>
      <c r="E4" s="8" t="s">
        <v>13</v>
      </c>
      <c r="F4" s="9" t="s">
        <v>14</v>
      </c>
      <c r="G4" s="9" t="s">
        <v>14</v>
      </c>
      <c r="H4" s="9" t="s">
        <v>15</v>
      </c>
      <c r="I4" s="9" t="s">
        <v>16</v>
      </c>
      <c r="J4" s="7" t="s">
        <v>9</v>
      </c>
      <c r="K4" s="5" t="s">
        <v>17</v>
      </c>
      <c r="L4" s="5" t="s">
        <v>18</v>
      </c>
      <c r="M4" s="8" t="s">
        <v>12</v>
      </c>
      <c r="N4" s="9" t="s">
        <v>14</v>
      </c>
      <c r="O4" s="9" t="s">
        <v>15</v>
      </c>
      <c r="P4" s="9" t="s">
        <v>16</v>
      </c>
      <c r="Q4" s="9" t="s">
        <v>19</v>
      </c>
    </row>
    <row r="6" customFormat="false" ht="12.8" hidden="false" customHeight="false" outlineLevel="0" collapsed="false">
      <c r="A6" s="1" t="n">
        <v>45717</v>
      </c>
      <c r="B6" s="2" t="s">
        <v>19</v>
      </c>
      <c r="C6" s="2" t="s">
        <v>20</v>
      </c>
      <c r="F6" s="12" t="n">
        <f aca="false">Feb!N43</f>
        <v>118839</v>
      </c>
      <c r="G6" s="12" t="n">
        <f aca="false">Feb!N43</f>
        <v>118839</v>
      </c>
      <c r="H6" s="12"/>
      <c r="I6" s="12" t="n">
        <f aca="false">I5+G6</f>
        <v>118839</v>
      </c>
      <c r="J6" s="1" t="n">
        <v>45717</v>
      </c>
      <c r="N6" s="12"/>
      <c r="O6" s="12"/>
      <c r="P6" s="12" t="n">
        <f aca="false">P5+N6</f>
        <v>0</v>
      </c>
      <c r="Q6" s="12" t="n">
        <f aca="false">I6-P6</f>
        <v>118839</v>
      </c>
    </row>
    <row r="7" customFormat="false" ht="12.8" hidden="false" customHeight="false" outlineLevel="0" collapsed="false">
      <c r="A7" s="1" t="n">
        <v>45718</v>
      </c>
      <c r="F7" s="12"/>
      <c r="G7" s="12" t="n">
        <f aca="false">SUM(E7:F7)</f>
        <v>0</v>
      </c>
      <c r="H7" s="12"/>
      <c r="I7" s="12" t="n">
        <f aca="false">I6+G7</f>
        <v>118839</v>
      </c>
      <c r="J7" s="1" t="n">
        <v>45718</v>
      </c>
      <c r="K7" s="2" t="s">
        <v>22</v>
      </c>
      <c r="L7" s="2" t="s">
        <v>23</v>
      </c>
      <c r="M7" s="2" t="n">
        <v>9</v>
      </c>
      <c r="N7" s="12" t="n">
        <v>3000</v>
      </c>
      <c r="O7" s="12"/>
      <c r="P7" s="12" t="n">
        <f aca="false">P6+N7</f>
        <v>3000</v>
      </c>
      <c r="Q7" s="12" t="n">
        <f aca="false">I7-P7</f>
        <v>115839</v>
      </c>
    </row>
    <row r="8" customFormat="false" ht="12.8" hidden="false" customHeight="false" outlineLevel="0" collapsed="false">
      <c r="A8" s="1" t="n">
        <v>45719</v>
      </c>
      <c r="F8" s="12"/>
      <c r="G8" s="12" t="n">
        <f aca="false">SUM(E8:F8)</f>
        <v>0</v>
      </c>
      <c r="H8" s="12"/>
      <c r="I8" s="12" t="n">
        <f aca="false">I7+G8</f>
        <v>118839</v>
      </c>
      <c r="J8" s="1" t="n">
        <v>45719</v>
      </c>
      <c r="N8" s="12"/>
      <c r="O8" s="12"/>
      <c r="P8" s="12" t="n">
        <f aca="false">P7+N8</f>
        <v>3000</v>
      </c>
      <c r="Q8" s="12" t="n">
        <f aca="false">I8-P8</f>
        <v>115839</v>
      </c>
    </row>
    <row r="9" customFormat="false" ht="36.45" hidden="false" customHeight="false" outlineLevel="0" collapsed="false">
      <c r="A9" s="1" t="n">
        <v>45720</v>
      </c>
      <c r="B9" s="2" t="s">
        <v>28</v>
      </c>
      <c r="C9" s="19" t="s">
        <v>67</v>
      </c>
      <c r="D9" s="2" t="n">
        <v>8</v>
      </c>
      <c r="F9" s="12"/>
      <c r="G9" s="12" t="n">
        <f aca="false">SUM(E9:F9)</f>
        <v>0</v>
      </c>
      <c r="H9" s="12" t="n">
        <v>2700</v>
      </c>
      <c r="I9" s="12" t="n">
        <f aca="false">I8+G9</f>
        <v>118839</v>
      </c>
      <c r="J9" s="1" t="n">
        <v>45720</v>
      </c>
      <c r="K9" s="2" t="s">
        <v>26</v>
      </c>
      <c r="L9" s="19" t="s">
        <v>67</v>
      </c>
      <c r="M9" s="2" t="n">
        <v>4</v>
      </c>
      <c r="N9" s="12"/>
      <c r="O9" s="12" t="n">
        <v>2430</v>
      </c>
      <c r="P9" s="12" t="n">
        <f aca="false">P8+N9</f>
        <v>3000</v>
      </c>
      <c r="Q9" s="12" t="n">
        <f aca="false">I9-P9</f>
        <v>115839</v>
      </c>
    </row>
    <row r="10" customFormat="false" ht="13.25" hidden="false" customHeight="false" outlineLevel="0" collapsed="false">
      <c r="A10" s="1" t="n">
        <v>45721</v>
      </c>
      <c r="C10" s="15"/>
      <c r="D10" s="31"/>
      <c r="E10" s="31"/>
      <c r="F10" s="12"/>
      <c r="G10" s="12" t="n">
        <f aca="false">SUM(E10:F10)</f>
        <v>0</v>
      </c>
      <c r="H10" s="12"/>
      <c r="I10" s="12" t="n">
        <f aca="false">I9+G10</f>
        <v>118839</v>
      </c>
      <c r="J10" s="1" t="n">
        <v>45721</v>
      </c>
      <c r="K10" s="2" t="s">
        <v>38</v>
      </c>
      <c r="L10" s="53" t="s">
        <v>21</v>
      </c>
      <c r="M10" s="2" t="n">
        <v>10</v>
      </c>
      <c r="N10" s="12"/>
      <c r="O10" s="12" t="n">
        <v>270</v>
      </c>
      <c r="P10" s="12" t="n">
        <f aca="false">P9+N10</f>
        <v>3000</v>
      </c>
      <c r="Q10" s="12" t="n">
        <f aca="false">I10-P10</f>
        <v>115839</v>
      </c>
    </row>
    <row r="11" customFormat="false" ht="12.8" hidden="false" customHeight="false" outlineLevel="0" collapsed="false">
      <c r="A11" s="1" t="n">
        <v>45722</v>
      </c>
      <c r="C11" s="15"/>
      <c r="D11" s="31"/>
      <c r="E11" s="31"/>
      <c r="F11" s="12"/>
      <c r="G11" s="12" t="n">
        <f aca="false">SUM(E11:F11)</f>
        <v>0</v>
      </c>
      <c r="H11" s="12"/>
      <c r="I11" s="12" t="n">
        <f aca="false">I10+G11</f>
        <v>118839</v>
      </c>
      <c r="J11" s="1" t="n">
        <v>45722</v>
      </c>
      <c r="K11" s="54"/>
      <c r="L11" s="53"/>
      <c r="N11" s="12"/>
      <c r="O11" s="12"/>
      <c r="P11" s="12" t="n">
        <f aca="false">P10+N11</f>
        <v>3000</v>
      </c>
      <c r="Q11" s="12" t="n">
        <f aca="false">I11-P11</f>
        <v>115839</v>
      </c>
    </row>
    <row r="12" customFormat="false" ht="12.8" hidden="false" customHeight="false" outlineLevel="0" collapsed="false">
      <c r="A12" s="1" t="n">
        <v>45723</v>
      </c>
      <c r="C12" s="15"/>
      <c r="D12" s="31"/>
      <c r="E12" s="31"/>
      <c r="F12" s="12"/>
      <c r="G12" s="12" t="n">
        <f aca="false">SUM(E12:F12)</f>
        <v>0</v>
      </c>
      <c r="H12" s="12"/>
      <c r="I12" s="12" t="n">
        <f aca="false">I11+G12</f>
        <v>118839</v>
      </c>
      <c r="J12" s="1" t="n">
        <v>45723</v>
      </c>
      <c r="K12" s="54"/>
      <c r="L12" s="53"/>
      <c r="N12" s="12"/>
      <c r="O12" s="12"/>
      <c r="P12" s="12" t="n">
        <f aca="false">P11+N12</f>
        <v>3000</v>
      </c>
      <c r="Q12" s="12" t="n">
        <f aca="false">I12-P12</f>
        <v>115839</v>
      </c>
    </row>
    <row r="13" customFormat="false" ht="12.8" hidden="false" customHeight="false" outlineLevel="0" collapsed="false">
      <c r="A13" s="1" t="n">
        <v>45724</v>
      </c>
      <c r="F13" s="12"/>
      <c r="G13" s="12" t="n">
        <f aca="false">SUM(E13:F13)</f>
        <v>0</v>
      </c>
      <c r="H13" s="12"/>
      <c r="I13" s="12" t="n">
        <f aca="false">I12+G13</f>
        <v>118839</v>
      </c>
      <c r="J13" s="1" t="n">
        <v>45724</v>
      </c>
      <c r="O13" s="12"/>
      <c r="P13" s="12" t="n">
        <f aca="false">P12+N13</f>
        <v>3000</v>
      </c>
      <c r="Q13" s="12" t="n">
        <f aca="false">I13-P13</f>
        <v>115839</v>
      </c>
    </row>
    <row r="14" customFormat="false" ht="12.8" hidden="false" customHeight="false" outlineLevel="0" collapsed="false">
      <c r="A14" s="1" t="n">
        <v>45725</v>
      </c>
      <c r="D14" s="31"/>
      <c r="E14" s="31"/>
      <c r="F14" s="12"/>
      <c r="G14" s="12" t="n">
        <f aca="false">SUM(E14:F14)</f>
        <v>0</v>
      </c>
      <c r="H14" s="12"/>
      <c r="I14" s="12" t="n">
        <f aca="false">I13+G14</f>
        <v>118839</v>
      </c>
      <c r="J14" s="1" t="n">
        <v>45725</v>
      </c>
      <c r="K14" s="2" t="s">
        <v>30</v>
      </c>
      <c r="L14" s="2" t="s">
        <v>31</v>
      </c>
      <c r="M14" s="2" t="n">
        <v>11</v>
      </c>
      <c r="N14" s="12" t="n">
        <v>500</v>
      </c>
      <c r="O14" s="12"/>
      <c r="P14" s="12" t="n">
        <f aca="false">P13+N14</f>
        <v>3500</v>
      </c>
      <c r="Q14" s="12" t="n">
        <f aca="false">I14-P14</f>
        <v>115339</v>
      </c>
    </row>
    <row r="15" customFormat="false" ht="12.8" hidden="false" customHeight="false" outlineLevel="0" collapsed="false">
      <c r="A15" s="1" t="n">
        <v>45726</v>
      </c>
      <c r="F15" s="12"/>
      <c r="G15" s="12" t="n">
        <f aca="false">SUM(E15:F15)</f>
        <v>0</v>
      </c>
      <c r="H15" s="12"/>
      <c r="I15" s="12" t="n">
        <f aca="false">I14+G15</f>
        <v>118839</v>
      </c>
      <c r="J15" s="1" t="n">
        <v>45726</v>
      </c>
      <c r="N15" s="12"/>
      <c r="O15" s="12"/>
      <c r="P15" s="12" t="n">
        <f aca="false">P14+N15</f>
        <v>3500</v>
      </c>
      <c r="Q15" s="12" t="n">
        <f aca="false">I15-P15</f>
        <v>115339</v>
      </c>
    </row>
    <row r="16" customFormat="false" ht="12.8" hidden="false" customHeight="false" outlineLevel="0" collapsed="false">
      <c r="A16" s="1" t="n">
        <v>45727</v>
      </c>
      <c r="C16" s="19"/>
      <c r="F16" s="12"/>
      <c r="G16" s="12" t="n">
        <f aca="false">SUM(E16:F16)</f>
        <v>0</v>
      </c>
      <c r="H16" s="12"/>
      <c r="I16" s="12" t="n">
        <f aca="false">I15+G16</f>
        <v>118839</v>
      </c>
      <c r="J16" s="1" t="n">
        <v>45727</v>
      </c>
      <c r="N16" s="12"/>
      <c r="O16" s="12"/>
      <c r="P16" s="12" t="n">
        <f aca="false">P15+N16</f>
        <v>3500</v>
      </c>
      <c r="Q16" s="12" t="n">
        <f aca="false">I16-P16</f>
        <v>115339</v>
      </c>
    </row>
    <row r="17" customFormat="false" ht="12.8" hidden="false" customHeight="false" outlineLevel="0" collapsed="false">
      <c r="A17" s="1" t="n">
        <v>45728</v>
      </c>
      <c r="F17" s="12"/>
      <c r="G17" s="12" t="n">
        <f aca="false">SUM(E17:F17)</f>
        <v>0</v>
      </c>
      <c r="H17" s="12"/>
      <c r="I17" s="12" t="n">
        <f aca="false">I16+G17</f>
        <v>118839</v>
      </c>
      <c r="J17" s="1" t="n">
        <v>45728</v>
      </c>
      <c r="N17" s="12"/>
      <c r="O17" s="12"/>
      <c r="P17" s="12" t="n">
        <f aca="false">P16+N17</f>
        <v>3500</v>
      </c>
      <c r="Q17" s="12" t="n">
        <f aca="false">I17-P17</f>
        <v>115339</v>
      </c>
    </row>
    <row r="18" customFormat="false" ht="12.8" hidden="false" customHeight="false" outlineLevel="0" collapsed="false">
      <c r="A18" s="1" t="n">
        <v>45729</v>
      </c>
      <c r="F18" s="12"/>
      <c r="G18" s="12" t="n">
        <f aca="false">SUM(E18:F18)</f>
        <v>0</v>
      </c>
      <c r="H18" s="12"/>
      <c r="I18" s="12" t="n">
        <f aca="false">I17+G18</f>
        <v>118839</v>
      </c>
      <c r="J18" s="1" t="n">
        <v>45729</v>
      </c>
      <c r="O18" s="12"/>
      <c r="P18" s="12" t="n">
        <f aca="false">P17+N18</f>
        <v>3500</v>
      </c>
      <c r="Q18" s="12" t="n">
        <f aca="false">I18-P18</f>
        <v>115339</v>
      </c>
    </row>
    <row r="19" customFormat="false" ht="13.25" hidden="false" customHeight="false" outlineLevel="0" collapsed="false">
      <c r="A19" s="1" t="n">
        <v>45730</v>
      </c>
      <c r="C19" s="19" t="s">
        <v>21</v>
      </c>
      <c r="F19" s="12"/>
      <c r="G19" s="12" t="n">
        <f aca="false">SUM(E19:F19)</f>
        <v>0</v>
      </c>
      <c r="H19" s="12"/>
      <c r="I19" s="12" t="n">
        <f aca="false">I18+G19</f>
        <v>118839</v>
      </c>
      <c r="J19" s="1" t="n">
        <v>45730</v>
      </c>
      <c r="L19" s="19"/>
      <c r="N19" s="12"/>
      <c r="O19" s="12"/>
      <c r="P19" s="12" t="n">
        <f aca="false">P18+N19</f>
        <v>3500</v>
      </c>
      <c r="Q19" s="12" t="n">
        <f aca="false">I19-P19</f>
        <v>115339</v>
      </c>
    </row>
    <row r="20" customFormat="false" ht="12.8" hidden="false" customHeight="false" outlineLevel="0" collapsed="false">
      <c r="A20" s="1" t="n">
        <v>45731</v>
      </c>
      <c r="F20" s="12"/>
      <c r="G20" s="12" t="n">
        <f aca="false">SUM(E20:F20)</f>
        <v>0</v>
      </c>
      <c r="H20" s="12"/>
      <c r="I20" s="12" t="n">
        <f aca="false">I19+G20</f>
        <v>118839</v>
      </c>
      <c r="J20" s="1" t="n">
        <v>45731</v>
      </c>
      <c r="L20" s="2" t="s">
        <v>21</v>
      </c>
      <c r="N20" s="12"/>
      <c r="O20" s="12"/>
      <c r="P20" s="12" t="n">
        <f aca="false">P19+N20</f>
        <v>3500</v>
      </c>
      <c r="Q20" s="12" t="n">
        <f aca="false">I20-P20</f>
        <v>115339</v>
      </c>
    </row>
    <row r="21" customFormat="false" ht="36.45" hidden="false" customHeight="false" outlineLevel="0" collapsed="false">
      <c r="A21" s="1" t="n">
        <v>45732</v>
      </c>
      <c r="B21" s="2" t="s">
        <v>28</v>
      </c>
      <c r="C21" s="19" t="s">
        <v>68</v>
      </c>
      <c r="D21" s="2" t="n">
        <v>8</v>
      </c>
      <c r="F21" s="12"/>
      <c r="G21" s="12" t="n">
        <f aca="false">SUM(E21:F21)</f>
        <v>0</v>
      </c>
      <c r="H21" s="12" t="n">
        <v>3200</v>
      </c>
      <c r="I21" s="12" t="n">
        <f aca="false">I20+G21</f>
        <v>118839</v>
      </c>
      <c r="J21" s="1" t="n">
        <v>45732</v>
      </c>
      <c r="K21" s="2" t="s">
        <v>26</v>
      </c>
      <c r="L21" s="19" t="s">
        <v>68</v>
      </c>
      <c r="M21" s="2" t="n">
        <v>4</v>
      </c>
      <c r="N21" s="12"/>
      <c r="O21" s="12" t="n">
        <v>2880</v>
      </c>
      <c r="P21" s="12" t="n">
        <f aca="false">P20+N21</f>
        <v>3500</v>
      </c>
      <c r="Q21" s="12" t="n">
        <f aca="false">I21-P21</f>
        <v>115339</v>
      </c>
    </row>
    <row r="22" customFormat="false" ht="36.45" hidden="false" customHeight="false" outlineLevel="0" collapsed="false">
      <c r="A22" s="1" t="n">
        <v>45733</v>
      </c>
      <c r="B22" s="2" t="s">
        <v>26</v>
      </c>
      <c r="C22" s="19" t="s">
        <v>69</v>
      </c>
      <c r="D22" s="2" t="n">
        <v>4</v>
      </c>
      <c r="F22" s="12" t="n">
        <v>10000</v>
      </c>
      <c r="G22" s="12" t="n">
        <f aca="false">SUM(E22:F22)</f>
        <v>10000</v>
      </c>
      <c r="H22" s="12"/>
      <c r="I22" s="12" t="n">
        <f aca="false">I21+G22</f>
        <v>128839</v>
      </c>
      <c r="J22" s="1" t="n">
        <v>45733</v>
      </c>
      <c r="K22" s="2" t="s">
        <v>38</v>
      </c>
      <c r="L22" s="2" t="s">
        <v>21</v>
      </c>
      <c r="M22" s="2" t="n">
        <v>10</v>
      </c>
      <c r="N22" s="12"/>
      <c r="O22" s="12" t="n">
        <v>320</v>
      </c>
      <c r="P22" s="12" t="n">
        <f aca="false">P21+N22</f>
        <v>3500</v>
      </c>
      <c r="Q22" s="12" t="n">
        <f aca="false">I22-P22</f>
        <v>125339</v>
      </c>
    </row>
    <row r="23" customFormat="false" ht="12.8" hidden="false" customHeight="false" outlineLevel="0" collapsed="false">
      <c r="A23" s="1" t="n">
        <v>45734</v>
      </c>
      <c r="F23" s="12"/>
      <c r="G23" s="12" t="n">
        <f aca="false">SUM(E23:F23)</f>
        <v>0</v>
      </c>
      <c r="H23" s="12"/>
      <c r="I23" s="12" t="n">
        <f aca="false">I22+G23</f>
        <v>128839</v>
      </c>
      <c r="J23" s="1" t="n">
        <v>45734</v>
      </c>
      <c r="N23" s="12"/>
      <c r="O23" s="12"/>
      <c r="P23" s="12" t="n">
        <f aca="false">P22+N23</f>
        <v>3500</v>
      </c>
      <c r="Q23" s="12" t="n">
        <f aca="false">I23-P23</f>
        <v>125339</v>
      </c>
    </row>
    <row r="24" customFormat="false" ht="12.8" hidden="false" customHeight="false" outlineLevel="0" collapsed="false">
      <c r="A24" s="1" t="n">
        <v>45735</v>
      </c>
      <c r="F24" s="12"/>
      <c r="G24" s="12" t="n">
        <f aca="false">SUM(E24:F24)</f>
        <v>0</v>
      </c>
      <c r="H24" s="12"/>
      <c r="I24" s="12" t="n">
        <f aca="false">I23+G24</f>
        <v>128839</v>
      </c>
      <c r="J24" s="1" t="n">
        <v>45735</v>
      </c>
      <c r="N24" s="12"/>
      <c r="O24" s="12"/>
      <c r="P24" s="12" t="n">
        <f aca="false">P23+N24</f>
        <v>3500</v>
      </c>
      <c r="Q24" s="12" t="n">
        <f aca="false">I24-P24</f>
        <v>125339</v>
      </c>
    </row>
    <row r="25" customFormat="false" ht="12.8" hidden="false" customHeight="false" outlineLevel="0" collapsed="false">
      <c r="A25" s="1" t="n">
        <v>45736</v>
      </c>
      <c r="F25" s="12"/>
      <c r="G25" s="12" t="n">
        <f aca="false">SUM(E25:F25)</f>
        <v>0</v>
      </c>
      <c r="H25" s="12"/>
      <c r="I25" s="12" t="n">
        <f aca="false">I24+G25</f>
        <v>128839</v>
      </c>
      <c r="J25" s="1" t="n">
        <v>45736</v>
      </c>
      <c r="K25" s="2" t="s">
        <v>22</v>
      </c>
      <c r="L25" s="2" t="s">
        <v>32</v>
      </c>
      <c r="M25" s="2" t="n">
        <v>9</v>
      </c>
      <c r="N25" s="12" t="n">
        <v>3000</v>
      </c>
      <c r="O25" s="12"/>
      <c r="P25" s="12" t="n">
        <f aca="false">P24+N25</f>
        <v>6500</v>
      </c>
      <c r="Q25" s="12" t="n">
        <f aca="false">I25-P25</f>
        <v>122339</v>
      </c>
    </row>
    <row r="26" customFormat="false" ht="12.8" hidden="false" customHeight="false" outlineLevel="0" collapsed="false">
      <c r="A26" s="1" t="n">
        <v>45737</v>
      </c>
      <c r="F26" s="12"/>
      <c r="G26" s="12" t="n">
        <f aca="false">SUM(E26:F26)</f>
        <v>0</v>
      </c>
      <c r="H26" s="12"/>
      <c r="I26" s="12" t="n">
        <f aca="false">I25+G26</f>
        <v>128839</v>
      </c>
      <c r="J26" s="1" t="n">
        <v>45737</v>
      </c>
      <c r="N26" s="12"/>
      <c r="O26" s="12"/>
      <c r="P26" s="12" t="n">
        <f aca="false">P25+N26</f>
        <v>6500</v>
      </c>
      <c r="Q26" s="12" t="n">
        <f aca="false">I26-P26</f>
        <v>122339</v>
      </c>
    </row>
    <row r="27" customFormat="false" ht="12.8" hidden="false" customHeight="false" outlineLevel="0" collapsed="false">
      <c r="A27" s="1" t="n">
        <v>45738</v>
      </c>
      <c r="F27" s="12"/>
      <c r="G27" s="12" t="n">
        <f aca="false">SUM(E27:F27)</f>
        <v>0</v>
      </c>
      <c r="H27" s="12"/>
      <c r="I27" s="12" t="n">
        <f aca="false">I26+G27</f>
        <v>128839</v>
      </c>
      <c r="J27" s="1" t="n">
        <v>45738</v>
      </c>
      <c r="N27" s="12"/>
      <c r="O27" s="12"/>
      <c r="P27" s="12" t="n">
        <f aca="false">P26+N27</f>
        <v>6500</v>
      </c>
      <c r="Q27" s="12" t="n">
        <f aca="false">I27-P27</f>
        <v>122339</v>
      </c>
    </row>
    <row r="28" customFormat="false" ht="12.8" hidden="false" customHeight="false" outlineLevel="0" collapsed="false">
      <c r="A28" s="1" t="n">
        <v>45739</v>
      </c>
      <c r="F28" s="12"/>
      <c r="G28" s="12" t="n">
        <f aca="false">SUM(E28:F28)</f>
        <v>0</v>
      </c>
      <c r="H28" s="12"/>
      <c r="I28" s="12" t="n">
        <f aca="false">I27+G28</f>
        <v>128839</v>
      </c>
      <c r="J28" s="1" t="n">
        <v>45739</v>
      </c>
      <c r="N28" s="12"/>
      <c r="O28" s="12"/>
      <c r="P28" s="12" t="n">
        <f aca="false">P27+N28</f>
        <v>6500</v>
      </c>
      <c r="Q28" s="12" t="n">
        <f aca="false">I28-P28</f>
        <v>122339</v>
      </c>
    </row>
    <row r="29" customFormat="false" ht="12.8" hidden="false" customHeight="false" outlineLevel="0" collapsed="false">
      <c r="A29" s="1" t="n">
        <v>45740</v>
      </c>
      <c r="F29" s="12"/>
      <c r="G29" s="12" t="n">
        <f aca="false">SUM(E29:F29)</f>
        <v>0</v>
      </c>
      <c r="H29" s="12"/>
      <c r="I29" s="12" t="n">
        <f aca="false">I28+G29</f>
        <v>128839</v>
      </c>
      <c r="J29" s="1" t="n">
        <v>45740</v>
      </c>
      <c r="N29" s="12"/>
      <c r="O29" s="12"/>
      <c r="P29" s="12" t="n">
        <f aca="false">P28+N29</f>
        <v>6500</v>
      </c>
      <c r="Q29" s="12" t="n">
        <f aca="false">I29-P29</f>
        <v>122339</v>
      </c>
    </row>
    <row r="30" customFormat="false" ht="13.8" hidden="false" customHeight="false" outlineLevel="0" collapsed="false">
      <c r="A30" s="1" t="n">
        <v>45741</v>
      </c>
      <c r="C30" s="21"/>
      <c r="D30" s="48"/>
      <c r="F30" s="12"/>
      <c r="G30" s="12" t="n">
        <f aca="false">SUM(E30:F30)</f>
        <v>0</v>
      </c>
      <c r="H30" s="12"/>
      <c r="I30" s="12" t="n">
        <f aca="false">I29+G30</f>
        <v>128839</v>
      </c>
      <c r="J30" s="1" t="n">
        <v>45741</v>
      </c>
      <c r="N30" s="12"/>
      <c r="O30" s="41"/>
      <c r="P30" s="12" t="n">
        <f aca="false">P29+N30</f>
        <v>6500</v>
      </c>
      <c r="Q30" s="12" t="n">
        <f aca="false">I30-P30</f>
        <v>122339</v>
      </c>
    </row>
    <row r="31" customFormat="false" ht="13.8" hidden="false" customHeight="false" outlineLevel="0" collapsed="false">
      <c r="A31" s="1" t="n">
        <v>45742</v>
      </c>
      <c r="C31" s="21"/>
      <c r="D31" s="48"/>
      <c r="F31" s="12"/>
      <c r="G31" s="12" t="n">
        <f aca="false">SUM(E31:F31)</f>
        <v>0</v>
      </c>
      <c r="H31" s="12"/>
      <c r="I31" s="12" t="n">
        <f aca="false">I30+G31</f>
        <v>128839</v>
      </c>
      <c r="J31" s="1" t="n">
        <v>45742</v>
      </c>
      <c r="N31" s="12"/>
      <c r="O31" s="41"/>
      <c r="P31" s="12" t="n">
        <f aca="false">P30+N31</f>
        <v>6500</v>
      </c>
      <c r="Q31" s="12" t="n">
        <f aca="false">I31-P31</f>
        <v>122339</v>
      </c>
    </row>
    <row r="32" customFormat="false" ht="13.8" hidden="false" customHeight="false" outlineLevel="0" collapsed="false">
      <c r="A32" s="1" t="n">
        <v>45743</v>
      </c>
      <c r="D32" s="48"/>
      <c r="F32" s="12"/>
      <c r="G32" s="12" t="n">
        <f aca="false">SUM(E32:F32)</f>
        <v>0</v>
      </c>
      <c r="H32" s="12"/>
      <c r="I32" s="12" t="n">
        <f aca="false">I31+G32</f>
        <v>128839</v>
      </c>
      <c r="J32" s="1" t="n">
        <v>45743</v>
      </c>
      <c r="N32" s="12"/>
      <c r="O32" s="41"/>
      <c r="P32" s="12" t="n">
        <f aca="false">P31+N32</f>
        <v>6500</v>
      </c>
      <c r="Q32" s="12" t="n">
        <f aca="false">I32-P32</f>
        <v>122339</v>
      </c>
    </row>
    <row r="33" customFormat="false" ht="13.8" hidden="false" customHeight="false" outlineLevel="0" collapsed="false">
      <c r="A33" s="1" t="n">
        <v>45744</v>
      </c>
      <c r="C33" s="21"/>
      <c r="D33" s="20"/>
      <c r="E33" s="41"/>
      <c r="F33" s="12"/>
      <c r="G33" s="12" t="n">
        <f aca="false">SUM(E33:F33)</f>
        <v>0</v>
      </c>
      <c r="H33" s="12"/>
      <c r="I33" s="12" t="n">
        <f aca="false">I32+G33</f>
        <v>128839</v>
      </c>
      <c r="J33" s="1" t="n">
        <v>45744</v>
      </c>
      <c r="N33" s="12"/>
      <c r="O33" s="12"/>
      <c r="P33" s="12" t="n">
        <f aca="false">P32+N33</f>
        <v>6500</v>
      </c>
      <c r="Q33" s="12" t="n">
        <f aca="false">I33-P33</f>
        <v>122339</v>
      </c>
    </row>
    <row r="34" customFormat="false" ht="12.8" hidden="false" customHeight="false" outlineLevel="0" collapsed="false">
      <c r="A34" s="1" t="n">
        <v>45745</v>
      </c>
      <c r="F34" s="12"/>
      <c r="G34" s="12" t="n">
        <f aca="false">SUM(E34:F34)</f>
        <v>0</v>
      </c>
      <c r="H34" s="12"/>
      <c r="I34" s="12" t="n">
        <f aca="false">I33+G34</f>
        <v>128839</v>
      </c>
      <c r="J34" s="1" t="n">
        <v>45745</v>
      </c>
      <c r="K34" s="2" t="s">
        <v>30</v>
      </c>
      <c r="L34" s="2" t="s">
        <v>31</v>
      </c>
      <c r="M34" s="2" t="n">
        <v>11</v>
      </c>
      <c r="N34" s="12" t="n">
        <v>500</v>
      </c>
      <c r="O34" s="12"/>
      <c r="P34" s="12" t="n">
        <f aca="false">P33+N34</f>
        <v>7000</v>
      </c>
      <c r="Q34" s="12" t="n">
        <f aca="false">I34-P34</f>
        <v>121839</v>
      </c>
    </row>
    <row r="35" customFormat="false" ht="12.8" hidden="false" customHeight="false" outlineLevel="0" collapsed="false">
      <c r="A35" s="1" t="n">
        <v>45746</v>
      </c>
      <c r="F35" s="12"/>
      <c r="G35" s="12" t="n">
        <f aca="false">SUM(E35:F35)</f>
        <v>0</v>
      </c>
      <c r="H35" s="12"/>
      <c r="I35" s="12" t="n">
        <f aca="false">I34+G35</f>
        <v>128839</v>
      </c>
      <c r="J35" s="1" t="n">
        <v>45746</v>
      </c>
      <c r="N35" s="12"/>
      <c r="O35" s="12"/>
      <c r="P35" s="12" t="n">
        <f aca="false">P34+N35</f>
        <v>7000</v>
      </c>
      <c r="Q35" s="12" t="n">
        <f aca="false">I35-P35</f>
        <v>121839</v>
      </c>
    </row>
    <row r="36" customFormat="false" ht="13.8" hidden="false" customHeight="false" outlineLevel="0" collapsed="false">
      <c r="A36" s="1" t="n">
        <v>45747</v>
      </c>
      <c r="C36" s="52"/>
      <c r="G36" s="12" t="n">
        <f aca="false">SUM(E36:F36)</f>
        <v>0</v>
      </c>
      <c r="I36" s="12" t="n">
        <f aca="false">I35+G36</f>
        <v>128839</v>
      </c>
      <c r="J36" s="1" t="n">
        <v>45747</v>
      </c>
      <c r="L36" s="52" t="s">
        <v>21</v>
      </c>
      <c r="N36" s="12"/>
      <c r="O36" s="12"/>
      <c r="P36" s="12" t="n">
        <f aca="false">P35+N36</f>
        <v>7000</v>
      </c>
      <c r="Q36" s="12" t="n">
        <f aca="false">I36-P36</f>
        <v>121839</v>
      </c>
    </row>
    <row r="37" customFormat="false" ht="13.8" hidden="false" customHeight="false" outlineLevel="0" collapsed="false">
      <c r="A37" s="1" t="n">
        <v>45747</v>
      </c>
      <c r="C37" s="21"/>
      <c r="G37" s="12" t="n">
        <f aca="false">SUM(E37:F37)</f>
        <v>0</v>
      </c>
      <c r="I37" s="12" t="n">
        <f aca="false">I36+G37</f>
        <v>128839</v>
      </c>
      <c r="J37" s="1" t="n">
        <v>45747</v>
      </c>
      <c r="L37" s="21" t="s">
        <v>21</v>
      </c>
      <c r="N37" s="12"/>
      <c r="O37" s="12"/>
      <c r="P37" s="12" t="n">
        <f aca="false">P36+N37</f>
        <v>7000</v>
      </c>
      <c r="Q37" s="12" t="n">
        <f aca="false">I37-P37</f>
        <v>121839</v>
      </c>
    </row>
    <row r="38" customFormat="false" ht="12.8" hidden="false" customHeight="false" outlineLevel="0" collapsed="false">
      <c r="A38" s="1" t="n">
        <v>45747</v>
      </c>
      <c r="G38" s="12" t="n">
        <f aca="false">SUM(E38:F38)</f>
        <v>0</v>
      </c>
      <c r="I38" s="12" t="n">
        <f aca="false">I37+G38</f>
        <v>128839</v>
      </c>
      <c r="J38" s="1" t="n">
        <v>45747</v>
      </c>
      <c r="K38" s="2" t="s">
        <v>19</v>
      </c>
      <c r="L38" s="2" t="s">
        <v>34</v>
      </c>
      <c r="N38" s="10" t="n">
        <f aca="false">Q37</f>
        <v>121839</v>
      </c>
      <c r="O38" s="12"/>
      <c r="P38" s="12" t="n">
        <f aca="false">P37+N38</f>
        <v>128839</v>
      </c>
      <c r="Q38" s="12" t="n">
        <f aca="false">I38-P38</f>
        <v>0</v>
      </c>
    </row>
    <row r="39" customFormat="false" ht="12.8" hidden="false" customHeight="false" outlineLevel="0" collapsed="false">
      <c r="N39" s="12"/>
      <c r="O39" s="12"/>
      <c r="P39" s="12"/>
      <c r="Q39" s="12"/>
    </row>
    <row r="40" customFormat="false" ht="12.8" hidden="false" customHeight="false" outlineLevel="0" collapsed="false">
      <c r="H40" s="3" t="n">
        <f aca="false">SUM(H6:H38)</f>
        <v>5900</v>
      </c>
      <c r="O40" s="3" t="n">
        <f aca="false">SUM(O6:O38)</f>
        <v>5900</v>
      </c>
    </row>
  </sheetData>
  <printOptions headings="false" gridLines="false" gridLinesSet="true" horizontalCentered="true" verticalCentered="false"/>
  <pageMargins left="0.7875" right="0.7875" top="1.06319444444444" bottom="1.06319444444444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3" activeCellId="0" sqref="F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29.45"/>
    <col collapsed="false" customWidth="true" hidden="false" outlineLevel="0" max="3" min="3" style="2" width="9.52"/>
    <col collapsed="false" customWidth="false" hidden="false" outlineLevel="0" max="16384" min="4" style="2" width="11.53"/>
  </cols>
  <sheetData>
    <row r="1" s="5" customFormat="true" ht="12.8" hidden="false" customHeight="false" outlineLevel="0" collapsed="false"/>
    <row r="2" s="5" customFormat="true" ht="12.8" hidden="false" customHeight="false" outlineLevel="0" collapsed="false">
      <c r="A2" s="7" t="s">
        <v>0</v>
      </c>
      <c r="B2" s="5" t="s">
        <v>70</v>
      </c>
    </row>
    <row r="3" s="5" customFormat="true" ht="12.8" hidden="false" customHeight="false" outlineLevel="0" collapsed="false"/>
    <row r="4" s="5" customFormat="true" ht="12.8" hidden="false" customHeight="false" outlineLevel="0" collapsed="false">
      <c r="A4" s="5" t="s">
        <v>71</v>
      </c>
      <c r="B4" s="5" t="s">
        <v>72</v>
      </c>
      <c r="C4" s="5" t="s">
        <v>73</v>
      </c>
    </row>
    <row r="6" customFormat="false" ht="12.8" hidden="false" customHeight="false" outlineLevel="0" collapsed="false">
      <c r="A6" s="2" t="n">
        <v>1</v>
      </c>
      <c r="B6" s="2" t="s">
        <v>74</v>
      </c>
      <c r="C6" s="2" t="n">
        <v>1</v>
      </c>
    </row>
    <row r="7" customFormat="false" ht="12.8" hidden="false" customHeight="false" outlineLevel="0" collapsed="false">
      <c r="A7" s="2" t="n">
        <v>2</v>
      </c>
      <c r="B7" s="2" t="s">
        <v>75</v>
      </c>
      <c r="C7" s="2" t="n">
        <v>2</v>
      </c>
    </row>
    <row r="8" customFormat="false" ht="12.8" hidden="false" customHeight="false" outlineLevel="0" collapsed="false">
      <c r="A8" s="2" t="n">
        <v>3</v>
      </c>
      <c r="B8" s="2" t="s">
        <v>76</v>
      </c>
      <c r="C8" s="2" t="n">
        <v>3</v>
      </c>
    </row>
    <row r="9" customFormat="false" ht="12.8" hidden="false" customHeight="false" outlineLevel="0" collapsed="false">
      <c r="A9" s="2" t="n">
        <v>4</v>
      </c>
      <c r="B9" s="2" t="s">
        <v>77</v>
      </c>
      <c r="C9" s="2" t="n">
        <v>4</v>
      </c>
    </row>
    <row r="10" customFormat="false" ht="12.8" hidden="false" customHeight="false" outlineLevel="0" collapsed="false">
      <c r="A10" s="2" t="n">
        <v>5</v>
      </c>
      <c r="B10" s="2" t="s">
        <v>78</v>
      </c>
      <c r="C10" s="2" t="n">
        <v>5</v>
      </c>
    </row>
    <row r="11" customFormat="false" ht="12.8" hidden="false" customHeight="false" outlineLevel="0" collapsed="false">
      <c r="A11" s="2" t="n">
        <v>6</v>
      </c>
      <c r="B11" s="2" t="s">
        <v>79</v>
      </c>
      <c r="C11" s="2" t="n">
        <v>6</v>
      </c>
    </row>
    <row r="12" customFormat="false" ht="12.8" hidden="false" customHeight="false" outlineLevel="0" collapsed="false">
      <c r="A12" s="2" t="n">
        <v>7</v>
      </c>
      <c r="B12" s="2" t="s">
        <v>80</v>
      </c>
      <c r="C12" s="2" t="n">
        <v>7</v>
      </c>
    </row>
    <row r="13" customFormat="false" ht="12.8" hidden="false" customHeight="false" outlineLevel="0" collapsed="false">
      <c r="A13" s="2" t="n">
        <v>8</v>
      </c>
      <c r="B13" s="2" t="s">
        <v>28</v>
      </c>
      <c r="C13" s="2" t="n">
        <v>8</v>
      </c>
    </row>
    <row r="14" customFormat="false" ht="12.8" hidden="false" customHeight="false" outlineLevel="0" collapsed="false">
      <c r="A14" s="2" t="n">
        <v>9</v>
      </c>
      <c r="B14" s="2" t="s">
        <v>22</v>
      </c>
      <c r="C14" s="2" t="n">
        <v>9</v>
      </c>
    </row>
    <row r="15" customFormat="false" ht="12.8" hidden="false" customHeight="false" outlineLevel="0" collapsed="false">
      <c r="A15" s="2" t="n">
        <v>10</v>
      </c>
      <c r="B15" s="2" t="s">
        <v>38</v>
      </c>
      <c r="C15" s="2" t="n">
        <v>10</v>
      </c>
    </row>
    <row r="16" customFormat="false" ht="12.8" hidden="false" customHeight="false" outlineLevel="0" collapsed="false">
      <c r="A16" s="2" t="n">
        <v>11</v>
      </c>
      <c r="B16" s="2" t="s">
        <v>81</v>
      </c>
      <c r="C16" s="2" t="n">
        <v>11</v>
      </c>
    </row>
    <row r="17" customFormat="false" ht="12.8" hidden="false" customHeight="false" outlineLevel="0" collapsed="false">
      <c r="A17" s="2" t="n">
        <v>12</v>
      </c>
      <c r="B17" s="2" t="s">
        <v>82</v>
      </c>
      <c r="C17" s="2" t="n">
        <v>12</v>
      </c>
    </row>
    <row r="18" customFormat="false" ht="12.8" hidden="false" customHeight="false" outlineLevel="0" collapsed="false">
      <c r="A18" s="2" t="n">
        <v>13</v>
      </c>
      <c r="B18" s="2" t="s">
        <v>83</v>
      </c>
      <c r="C18" s="2" t="n">
        <v>13</v>
      </c>
    </row>
    <row r="19" customFormat="false" ht="12.8" hidden="false" customHeight="false" outlineLevel="0" collapsed="false">
      <c r="A19" s="2" t="n">
        <v>14</v>
      </c>
      <c r="B19" s="2" t="s">
        <v>84</v>
      </c>
      <c r="C19" s="2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6.88"/>
    <col collapsed="false" customWidth="true" hidden="false" outlineLevel="0" max="3" min="3" style="2" width="20.95"/>
    <col collapsed="false" customWidth="true" hidden="false" outlineLevel="0" max="4" min="4" style="55" width="9.06"/>
    <col collapsed="false" customWidth="true" hidden="false" outlineLevel="0" max="6" min="5" style="12" width="10.13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74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26</v>
      </c>
      <c r="C6" s="2" t="s">
        <v>77</v>
      </c>
      <c r="D6" s="55" t="n">
        <v>4</v>
      </c>
      <c r="E6" s="12" t="n">
        <f aca="false">ICICI!F41</f>
        <v>71950.91</v>
      </c>
      <c r="H6" s="12" t="n">
        <f aca="false">BkAc!H5-F6+E6</f>
        <v>71950.91</v>
      </c>
    </row>
    <row r="7" customFormat="false" ht="12.8" hidden="false" customHeight="false" outlineLevel="0" collapsed="false">
      <c r="A7" s="57" t="n">
        <v>45382</v>
      </c>
      <c r="B7" s="2" t="s">
        <v>94</v>
      </c>
      <c r="C7" s="2" t="s">
        <v>34</v>
      </c>
      <c r="D7" s="55" t="n">
        <v>3</v>
      </c>
      <c r="F7" s="12" t="n">
        <f aca="false">H6</f>
        <v>71950.91</v>
      </c>
      <c r="H7" s="12" t="n">
        <f aca="false">BkAc!H6+F7-E7</f>
        <v>143901.82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32" activeCellId="0" sqref="K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22"/>
    <col collapsed="false" customWidth="true" hidden="false" outlineLevel="0" max="3" min="3" style="2" width="13.38"/>
    <col collapsed="false" customWidth="true" hidden="false" outlineLevel="0" max="4" min="4" style="55" width="9.36"/>
    <col collapsed="false" customWidth="true" hidden="false" outlineLevel="0" max="6" min="5" style="12" width="11.68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75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96</v>
      </c>
      <c r="C6" s="2" t="s">
        <v>20</v>
      </c>
      <c r="E6" s="12" t="n">
        <f aca="false">Mar!N38</f>
        <v>121839</v>
      </c>
      <c r="H6" s="12" t="n">
        <f aca="false">CiH!H5-F6+E6</f>
        <v>121839</v>
      </c>
    </row>
    <row r="7" customFormat="false" ht="12.8" hidden="false" customHeight="false" outlineLevel="0" collapsed="false">
      <c r="A7" s="57" t="n">
        <v>45382</v>
      </c>
      <c r="B7" s="2" t="s">
        <v>94</v>
      </c>
      <c r="C7" s="2" t="s">
        <v>34</v>
      </c>
      <c r="D7" s="55" t="n">
        <v>3</v>
      </c>
      <c r="F7" s="12" t="n">
        <f aca="false">CiH!H6</f>
        <v>121839</v>
      </c>
      <c r="H7" s="12" t="n">
        <f aca="false">CiH!H6-F7+E7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5.97"/>
    <col collapsed="false" customWidth="true" hidden="false" outlineLevel="0" max="3" min="3" style="2" width="15.25"/>
    <col collapsed="false" customWidth="true" hidden="false" outlineLevel="0" max="4" min="4" style="55" width="9.06"/>
    <col collapsed="false" customWidth="true" hidden="false" outlineLevel="0" max="6" min="5" style="12" width="11.68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76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97</v>
      </c>
      <c r="C6" s="2" t="s">
        <v>75</v>
      </c>
      <c r="D6" s="55" t="n">
        <v>2</v>
      </c>
      <c r="E6" s="12" t="n">
        <f aca="false">CiH!F7</f>
        <v>121839</v>
      </c>
      <c r="H6" s="12" t="n">
        <f aca="false">CurAs!H5-F6+E6</f>
        <v>121839</v>
      </c>
    </row>
    <row r="7" customFormat="false" ht="12.8" hidden="false" customHeight="false" outlineLevel="0" collapsed="false">
      <c r="A7" s="57" t="n">
        <v>45382</v>
      </c>
      <c r="B7" s="2" t="s">
        <v>98</v>
      </c>
      <c r="C7" s="2" t="s">
        <v>74</v>
      </c>
      <c r="D7" s="55" t="n">
        <v>1</v>
      </c>
      <c r="E7" s="12" t="n">
        <f aca="false">BkAc!F7</f>
        <v>71950.91</v>
      </c>
      <c r="H7" s="12" t="n">
        <f aca="false">CurAs!H6-F7+E7</f>
        <v>193789.91</v>
      </c>
    </row>
    <row r="8" customFormat="false" ht="12.8" hidden="false" customHeight="false" outlineLevel="0" collapsed="false">
      <c r="A8" s="57" t="n">
        <v>45382</v>
      </c>
      <c r="B8" s="2" t="s">
        <v>99</v>
      </c>
      <c r="C8" s="2" t="s">
        <v>34</v>
      </c>
      <c r="D8" s="55" t="n">
        <v>7</v>
      </c>
      <c r="F8" s="12" t="n">
        <f aca="false">CurAs!H7</f>
        <v>193789.91</v>
      </c>
      <c r="H8" s="12" t="n">
        <f aca="false">CurAs!H7-F8+E8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9765" topLeftCell="A27" activePane="topLeft" state="split"/>
      <selection pane="topLeft" activeCell="I44" activeCellId="0" sqref="I44"/>
      <selection pane="bottomLeft" activeCell="A27" activeCellId="0" sqref="A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22"/>
    <col collapsed="false" customWidth="true" hidden="false" outlineLevel="0" max="3" min="3" style="2" width="89.11"/>
    <col collapsed="false" customWidth="true" hidden="false" outlineLevel="0" max="4" min="4" style="55" width="9.36"/>
    <col collapsed="false" customWidth="true" hidden="false" outlineLevel="0" max="5" min="5" style="12" width="11.68"/>
    <col collapsed="false" customWidth="true" hidden="false" outlineLevel="0" max="6" min="6" style="12" width="10.13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77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45017</v>
      </c>
      <c r="B6" s="2" t="s">
        <v>96</v>
      </c>
      <c r="C6" s="2" t="s">
        <v>20</v>
      </c>
      <c r="E6" s="23" t="n">
        <v>160411.91</v>
      </c>
      <c r="H6" s="12" t="n">
        <f aca="false">ICICI!H5-F6+E6</f>
        <v>160411.91</v>
      </c>
    </row>
    <row r="7" customFormat="false" ht="12.8" hidden="false" customHeight="false" outlineLevel="0" collapsed="false">
      <c r="A7" s="57" t="n">
        <f aca="false">Apr!A9</f>
        <v>45386</v>
      </c>
      <c r="B7" s="2" t="n">
        <f aca="false">Apr!B14</f>
        <v>0</v>
      </c>
      <c r="C7" s="2" t="n">
        <f aca="false">Apr!C9</f>
        <v>0</v>
      </c>
      <c r="D7" s="55" t="n">
        <v>1</v>
      </c>
      <c r="F7" s="12" t="n">
        <f aca="false">SUM(Apr!G9:H9)</f>
        <v>0</v>
      </c>
      <c r="H7" s="12" t="n">
        <f aca="false">ICICI!H6-F7+E7</f>
        <v>160411.91</v>
      </c>
    </row>
    <row r="8" customFormat="false" ht="12.8" hidden="false" customHeight="false" outlineLevel="0" collapsed="false">
      <c r="A8" s="57" t="n">
        <f aca="false">Apr!J27</f>
        <v>45404</v>
      </c>
      <c r="B8" s="2" t="str">
        <f aca="false">Apr!K27</f>
        <v>ICICI</v>
      </c>
      <c r="C8" s="2" t="str">
        <f aca="false">Apr!L27</f>
        <v>UPI/311273166081/UPI/7409404440.wa.y/Kotak Mahindra /AXISWC3C4DB46691D4D54E08E7</v>
      </c>
      <c r="D8" s="55" t="n">
        <v>1</v>
      </c>
      <c r="E8" s="12" t="n">
        <f aca="false">SUM(Apr!N27:O27)</f>
        <v>300</v>
      </c>
      <c r="H8" s="12" t="n">
        <f aca="false">ICICI!H7-F8+E8</f>
        <v>160711.91</v>
      </c>
    </row>
    <row r="9" customFormat="false" ht="12.8" hidden="false" customHeight="false" outlineLevel="0" collapsed="false">
      <c r="A9" s="57" t="n">
        <f aca="false">May!A8</f>
        <v>45415</v>
      </c>
      <c r="B9" s="2" t="str">
        <f aca="false">May!B8</f>
        <v>ICICI</v>
      </c>
      <c r="C9" s="2" t="str">
        <f aca="false">May!C8</f>
        <v>NFS/S1ACAG49/CASH WDL/03-05-23                    </v>
      </c>
      <c r="D9" s="55" t="n">
        <v>2</v>
      </c>
      <c r="F9" s="12" t="n">
        <f aca="false">SUM(May!G8:H8)</f>
        <v>10000</v>
      </c>
      <c r="H9" s="12" t="n">
        <f aca="false">ICICI!H8-F9+E9</f>
        <v>150711.91</v>
      </c>
    </row>
    <row r="10" customFormat="false" ht="12.8" hidden="false" customHeight="false" outlineLevel="0" collapsed="false">
      <c r="A10" s="57" t="n">
        <f aca="false">May!J9</f>
        <v>45416</v>
      </c>
      <c r="B10" s="2" t="n">
        <f aca="false">May!K9</f>
        <v>0</v>
      </c>
      <c r="C10" s="2" t="n">
        <f aca="false">May!L9</f>
        <v>0</v>
      </c>
      <c r="D10" s="55" t="n">
        <v>2</v>
      </c>
      <c r="E10" s="12" t="n">
        <f aca="false">SUM(May!N9:O9)</f>
        <v>0</v>
      </c>
      <c r="H10" s="12" t="n">
        <f aca="false">ICICI!H9-F10+E10</f>
        <v>150711.91</v>
      </c>
    </row>
    <row r="11" customFormat="false" ht="12.8" hidden="false" customHeight="false" outlineLevel="0" collapsed="false">
      <c r="A11" s="57" t="n">
        <f aca="false">May!A36</f>
        <v>45441</v>
      </c>
      <c r="B11" s="2" t="str">
        <f aca="false">May!B36</f>
        <v>ICICI</v>
      </c>
      <c r="C11" s="2" t="str">
        <f aca="false">May!C36</f>
        <v>NFS/S1ACAG49/CASH WDL/28-05-23                    </v>
      </c>
      <c r="D11" s="55" t="n">
        <v>2</v>
      </c>
      <c r="F11" s="12" t="n">
        <f aca="false">SUM(May!G36:H36)</f>
        <v>10000</v>
      </c>
      <c r="H11" s="12" t="n">
        <f aca="false">ICICI!H10-F11+E11</f>
        <v>140711.91</v>
      </c>
    </row>
    <row r="12" customFormat="false" ht="12.8" hidden="false" customHeight="false" outlineLevel="0" collapsed="false">
      <c r="A12" s="57" t="n">
        <f aca="false">Jun!A33</f>
        <v>45471</v>
      </c>
      <c r="B12" s="2" t="str">
        <f aca="false">Jun!B33</f>
        <v>ICICI</v>
      </c>
      <c r="C12" s="2" t="str">
        <f aca="false">Jun!C33</f>
        <v>NFS/S1ACAG49/CASH WDL/28-06-23                    </v>
      </c>
      <c r="D12" s="55" t="n">
        <v>3</v>
      </c>
      <c r="F12" s="12" t="n">
        <f aca="false">SUM(Jun!G33:H33)</f>
        <v>10000</v>
      </c>
      <c r="H12" s="12" t="n">
        <f aca="false">ICICI!H11-F12+E12</f>
        <v>130711.91</v>
      </c>
    </row>
    <row r="13" customFormat="false" ht="12.8" hidden="false" customHeight="false" outlineLevel="0" collapsed="false">
      <c r="A13" s="57" t="n">
        <f aca="false">Jul!J24</f>
        <v>45492</v>
      </c>
      <c r="B13" s="2" t="n">
        <f aca="false">Jul!K24</f>
        <v>0</v>
      </c>
      <c r="C13" s="1" t="n">
        <f aca="false">Jul!L24</f>
        <v>0</v>
      </c>
      <c r="D13" s="55" t="n">
        <v>4</v>
      </c>
      <c r="E13" s="12" t="n">
        <f aca="false">SUM(Jul!N24:O24)</f>
        <v>0</v>
      </c>
      <c r="H13" s="12" t="n">
        <f aca="false">ICICI!H12-F13+E13</f>
        <v>130711.91</v>
      </c>
    </row>
    <row r="14" customFormat="false" ht="12.8" hidden="false" customHeight="false" outlineLevel="0" collapsed="false">
      <c r="A14" s="57" t="n">
        <f aca="false">Jul!A35</f>
        <v>45503</v>
      </c>
      <c r="B14" s="2" t="str">
        <f aca="false">Jul!B35</f>
        <v>ICICI</v>
      </c>
      <c r="C14" s="2" t="str">
        <f aca="false">Jul!C35</f>
        <v>ATM/S1CNQ071/CASH WDL/29-07-23                    </v>
      </c>
      <c r="D14" s="55" t="n">
        <v>4</v>
      </c>
      <c r="F14" s="12" t="n">
        <f aca="false">SUM(Jul!G35:H35)</f>
        <v>10000</v>
      </c>
      <c r="H14" s="12" t="n">
        <f aca="false">ICICI!H13-F14+E14</f>
        <v>120711.91</v>
      </c>
    </row>
    <row r="15" customFormat="false" ht="12.8" hidden="false" customHeight="false" outlineLevel="0" collapsed="false">
      <c r="A15" s="57" t="n">
        <f aca="false">Aug!J21</f>
        <v>45520</v>
      </c>
      <c r="B15" s="2" t="n">
        <f aca="false">Aug!K21</f>
        <v>0</v>
      </c>
      <c r="C15" s="2" t="n">
        <f aca="false">Aug!L21</f>
        <v>0</v>
      </c>
      <c r="D15" s="55" t="n">
        <v>5</v>
      </c>
      <c r="E15" s="12" t="n">
        <f aca="false">SUM(Aug!N21:O21)</f>
        <v>0</v>
      </c>
      <c r="H15" s="12" t="n">
        <f aca="false">ICICI!H14-F15+E15</f>
        <v>120711.91</v>
      </c>
    </row>
    <row r="16" customFormat="false" ht="12.8" hidden="false" customHeight="false" outlineLevel="0" collapsed="false">
      <c r="A16" s="57" t="n">
        <f aca="false">Aug!A34</f>
        <v>45533</v>
      </c>
      <c r="B16" s="2" t="str">
        <f aca="false">Aug!B34</f>
        <v>ICICI</v>
      </c>
      <c r="C16" s="2" t="str">
        <f aca="false">Aug!C34</f>
        <v>NFS/ID131801/CASH WDL/28-08-23                    </v>
      </c>
      <c r="D16" s="55" t="n">
        <v>5</v>
      </c>
      <c r="F16" s="12" t="n">
        <f aca="false">SUM(Aug!G34:H34)</f>
        <v>10000</v>
      </c>
      <c r="H16" s="12" t="n">
        <f aca="false">ICICI!H15-F16+E16</f>
        <v>110711.91</v>
      </c>
    </row>
    <row r="17" customFormat="false" ht="12.8" hidden="false" customHeight="false" outlineLevel="0" collapsed="false">
      <c r="A17" s="57" t="n">
        <f aca="false">Sep!A22</f>
        <v>45552</v>
      </c>
      <c r="B17" s="2" t="str">
        <f aca="false">Sep!B22</f>
        <v>ICICI</v>
      </c>
      <c r="C17" s="2" t="str">
        <f aca="false">Sep!C22</f>
        <v>NFS/S1ACAG49/CASH WDL/17-09-23                    </v>
      </c>
      <c r="D17" s="55" t="n">
        <v>6</v>
      </c>
      <c r="F17" s="12" t="n">
        <f aca="false">SUM(Sep!G22:H22)</f>
        <v>10000</v>
      </c>
      <c r="H17" s="12" t="n">
        <f aca="false">ICICI!H16-F17+E17</f>
        <v>100711.91</v>
      </c>
    </row>
    <row r="18" customFormat="false" ht="12.8" hidden="false" customHeight="false" outlineLevel="0" collapsed="false">
      <c r="A18" s="57" t="n">
        <f aca="false">Sep!J28</f>
        <v>45558</v>
      </c>
      <c r="B18" s="2" t="n">
        <f aca="false">Sep!K28</f>
        <v>0</v>
      </c>
      <c r="C18" s="2" t="n">
        <f aca="false">Sep!L28</f>
        <v>0</v>
      </c>
      <c r="D18" s="55" t="n">
        <v>6</v>
      </c>
      <c r="E18" s="12" t="n">
        <f aca="false">SUM(Sep!N28:O28)</f>
        <v>0</v>
      </c>
      <c r="H18" s="12" t="n">
        <f aca="false">ICICI!H17-F18+E18</f>
        <v>100711.91</v>
      </c>
    </row>
    <row r="19" customFormat="false" ht="12.8" hidden="false" customHeight="false" outlineLevel="0" collapsed="false">
      <c r="A19" s="57" t="n">
        <f aca="false">Oct!A27</f>
        <v>45587</v>
      </c>
      <c r="B19" s="2" t="str">
        <f aca="false">Oct!B27</f>
        <v>ICICI</v>
      </c>
      <c r="C19" s="2" t="str">
        <f aca="false">Oct!C27</f>
        <v>NFS/CASH WDL/329515011779/S1ACAG49/AGRA     /22-10</v>
      </c>
      <c r="D19" s="55" t="n">
        <v>7</v>
      </c>
      <c r="F19" s="12" t="n">
        <f aca="false">SUM(Oct!G27:H27)</f>
        <v>5000</v>
      </c>
      <c r="H19" s="12" t="n">
        <f aca="false">ICICI!H18-F19+E19</f>
        <v>95711.91</v>
      </c>
    </row>
    <row r="20" customFormat="false" ht="12.8" hidden="false" customHeight="false" outlineLevel="0" collapsed="false">
      <c r="A20" s="57" t="n">
        <f aca="false">Oct!J32</f>
        <v>45592</v>
      </c>
      <c r="B20" s="2" t="n">
        <f aca="false">Oct!K32</f>
        <v>0</v>
      </c>
      <c r="C20" s="2" t="n">
        <f aca="false">Oct!L32</f>
        <v>0</v>
      </c>
      <c r="D20" s="55" t="n">
        <v>7</v>
      </c>
      <c r="E20" s="12" t="n">
        <f aca="false">SUM(Oct!N32:O32)</f>
        <v>0</v>
      </c>
      <c r="H20" s="12" t="n">
        <f aca="false">ICICI!H19-F20+E20</f>
        <v>95711.91</v>
      </c>
    </row>
    <row r="21" customFormat="false" ht="12.8" hidden="false" customHeight="false" outlineLevel="0" collapsed="false">
      <c r="A21" s="57" t="n">
        <f aca="false">Nov!J7</f>
        <v>45598</v>
      </c>
      <c r="B21" s="2" t="n">
        <f aca="false">Nov!K7</f>
        <v>0</v>
      </c>
      <c r="C21" s="2" t="n">
        <f aca="false">Nov!L7</f>
        <v>0</v>
      </c>
      <c r="D21" s="55" t="n">
        <v>8</v>
      </c>
      <c r="E21" s="12" t="n">
        <f aca="false">SUM(Nov!N7:O7)</f>
        <v>0</v>
      </c>
      <c r="H21" s="12" t="n">
        <f aca="false">ICICI!H20-F21+E21</f>
        <v>95711.91</v>
      </c>
    </row>
    <row r="22" customFormat="false" ht="12.8" hidden="false" customHeight="false" outlineLevel="0" collapsed="false">
      <c r="A22" s="57" t="n">
        <f aca="false">Nov!J23</f>
        <v>45614</v>
      </c>
      <c r="B22" s="2" t="str">
        <f aca="false">Nov!K23</f>
        <v>ICICI</v>
      </c>
      <c r="C22" s="2" t="n">
        <f aca="false">Nov!L23</f>
        <v>0</v>
      </c>
      <c r="D22" s="55" t="n">
        <v>8</v>
      </c>
      <c r="E22" s="12" t="n">
        <f aca="false">SUM(Nov!N23:O23)</f>
        <v>0</v>
      </c>
      <c r="H22" s="12" t="n">
        <f aca="false">ICICI!H21-F22+E22</f>
        <v>95711.91</v>
      </c>
    </row>
    <row r="23" customFormat="false" ht="12.8" hidden="false" customHeight="false" outlineLevel="0" collapsed="false">
      <c r="A23" s="57" t="n">
        <f aca="false">Nov!J30</f>
        <v>45621</v>
      </c>
      <c r="B23" s="2" t="str">
        <f aca="false">Nov!K30</f>
        <v>ICICI</v>
      </c>
      <c r="C23" s="2" t="str">
        <f aca="false">Nov!L30</f>
        <v>TRF/SHRI MARUTINANDAN/005255/ICI/13.10.2024</v>
      </c>
      <c r="D23" s="55" t="n">
        <v>8</v>
      </c>
      <c r="E23" s="12" t="n">
        <f aca="false">SUM(Nov!N30:O30)</f>
        <v>6840</v>
      </c>
      <c r="H23" s="12" t="n">
        <f aca="false">ICICI!H22-F23+E23</f>
        <v>102551.91</v>
      </c>
    </row>
    <row r="24" customFormat="false" ht="12.8" hidden="false" customHeight="false" outlineLevel="0" collapsed="false">
      <c r="A24" s="57" t="n">
        <f aca="false">Nov!A34</f>
        <v>45622</v>
      </c>
      <c r="B24" s="2" t="str">
        <f aca="false">Nov!B34</f>
        <v>Patients</v>
      </c>
      <c r="C24" s="2" t="str">
        <f aca="false">Nov!C34</f>
        <v>CLG/SHRI MARUTI NANDAN HEAL/278323/CAB/06.11.2024</v>
      </c>
      <c r="D24" s="55" t="n">
        <v>8</v>
      </c>
      <c r="F24" s="12" t="n">
        <f aca="false">SUM(Nov!G34:H34)</f>
        <v>4851</v>
      </c>
      <c r="H24" s="12" t="n">
        <f aca="false">ICICI!H23-F24+E24</f>
        <v>97700.91</v>
      </c>
    </row>
    <row r="25" customFormat="false" ht="12.8" hidden="false" customHeight="false" outlineLevel="0" collapsed="false">
      <c r="A25" s="57" t="n">
        <f aca="false">Nov!J38</f>
        <v>45626</v>
      </c>
      <c r="B25" s="2" t="n">
        <f aca="false">Nov!K38</f>
        <v>0</v>
      </c>
      <c r="C25" s="2" t="n">
        <f aca="false">Nov!L38</f>
        <v>0</v>
      </c>
      <c r="D25" s="55" t="n">
        <v>8</v>
      </c>
      <c r="E25" s="12" t="n">
        <f aca="false">SUM(Nov!N38:O38)</f>
        <v>0</v>
      </c>
      <c r="H25" s="12" t="n">
        <f aca="false">ICICI!H24-F25+E25</f>
        <v>97700.91</v>
      </c>
    </row>
    <row r="26" customFormat="false" ht="12.8" hidden="false" customHeight="false" outlineLevel="0" collapsed="false">
      <c r="A26" s="57" t="n">
        <f aca="false">Dec!J31</f>
        <v>45652</v>
      </c>
      <c r="B26" s="2" t="str">
        <f aca="false">Dec!K31</f>
        <v>ICICI</v>
      </c>
      <c r="C26" s="2" t="str">
        <f aca="false">Dec!L31</f>
        <v>UPI/aradhanajain.77/fee/UNION BANK OF I/110005115377/UOB8b5a3fb3b56040ac9f1cb2856b871638</v>
      </c>
      <c r="D26" s="55" t="n">
        <v>9</v>
      </c>
      <c r="E26" s="12" t="n">
        <f aca="false">SUM(Dec!N31:O31)</f>
        <v>300</v>
      </c>
      <c r="H26" s="12" t="n">
        <f aca="false">ICICI!H25-F26+E26</f>
        <v>98000.91</v>
      </c>
    </row>
    <row r="27" customFormat="false" ht="12.8" hidden="false" customHeight="false" outlineLevel="0" collapsed="false">
      <c r="A27" s="57" t="n">
        <f aca="false">Dec!A35</f>
        <v>45656</v>
      </c>
      <c r="B27" s="2" t="str">
        <f aca="false">Dec!B35</f>
        <v>ICICI</v>
      </c>
      <c r="C27" s="2" t="str">
        <f aca="false">Dec!C35</f>
        <v>NFS/CASH WDL/336315013194/S1ACAG49/AGRA     /29-12</v>
      </c>
      <c r="D27" s="55" t="n">
        <v>9</v>
      </c>
      <c r="F27" s="12" t="n">
        <f aca="false">SUM(Dec!G35:H35)</f>
        <v>10000</v>
      </c>
      <c r="H27" s="12" t="n">
        <f aca="false">ICICI!H26-F27+E27</f>
        <v>88000.91</v>
      </c>
    </row>
    <row r="28" customFormat="false" ht="12.8" hidden="false" customHeight="false" outlineLevel="0" collapsed="false">
      <c r="A28" s="57" t="n">
        <f aca="false">Jan!J29</f>
        <v>45681</v>
      </c>
      <c r="B28" s="2" t="str">
        <f aca="false">Jan!K29</f>
        <v>ICICI</v>
      </c>
      <c r="C28" s="2" t="str">
        <f aca="false">Jan!L29</f>
        <v>TRF/SHRI MURTINANDAN HWEALT/004311/ICI/05.01.2024 </v>
      </c>
      <c r="D28" s="55" t="n">
        <v>10</v>
      </c>
      <c r="E28" s="12" t="n">
        <f aca="false">SUM(Jan!N29:O29)</f>
        <v>8640</v>
      </c>
      <c r="H28" s="12" t="n">
        <f aca="false">ICICI!H27-F28+E28</f>
        <v>96640.91</v>
      </c>
    </row>
    <row r="29" customFormat="false" ht="12.8" hidden="false" customHeight="false" outlineLevel="0" collapsed="false">
      <c r="A29" s="57" t="n">
        <f aca="false">Jan!A31</f>
        <v>45683</v>
      </c>
      <c r="B29" s="2" t="str">
        <f aca="false">Jan!B31</f>
        <v>ICICI</v>
      </c>
      <c r="C29" s="2" t="str">
        <f aca="false">Jan!C31</f>
        <v>NFS/CASH WDL/402522024752/S1ACAG49/AGRA     /25-01</v>
      </c>
      <c r="D29" s="55" t="n">
        <v>10</v>
      </c>
      <c r="F29" s="12" t="n">
        <f aca="false">SUM(Jan!G31:H31)</f>
        <v>10000</v>
      </c>
      <c r="H29" s="12" t="n">
        <f aca="false">ICICI!H28-F29+E29</f>
        <v>86640.91</v>
      </c>
    </row>
    <row r="30" customFormat="false" ht="12.8" hidden="false" customHeight="false" outlineLevel="0" collapsed="false">
      <c r="A30" s="57" t="n">
        <f aca="false">Feb!J12</f>
        <v>45695</v>
      </c>
      <c r="B30" s="57" t="str">
        <f aca="false">Feb!K18</f>
        <v>ICICI</v>
      </c>
      <c r="C30" s="57" t="n">
        <f aca="false">Feb!L12</f>
        <v>0</v>
      </c>
      <c r="D30" s="55" t="n">
        <v>10</v>
      </c>
      <c r="E30" s="12" t="n">
        <f aca="false">SUM(Feb!N12:O12)</f>
        <v>0</v>
      </c>
      <c r="H30" s="12" t="n">
        <f aca="false">ICICI!H29-F30+E30</f>
        <v>86640.91</v>
      </c>
    </row>
    <row r="31" customFormat="false" ht="12.8" hidden="false" customHeight="false" outlineLevel="0" collapsed="false">
      <c r="A31" s="57" t="n">
        <f aca="false">Feb!J14</f>
        <v>45697</v>
      </c>
      <c r="B31" s="2" t="n">
        <f aca="false">Feb!K14</f>
        <v>0</v>
      </c>
      <c r="C31" s="2" t="n">
        <f aca="false">Feb!L14</f>
        <v>0</v>
      </c>
      <c r="D31" s="55" t="n">
        <v>11</v>
      </c>
      <c r="E31" s="12" t="n">
        <f aca="false">SUM(Feb!N14:O14)</f>
        <v>0</v>
      </c>
      <c r="H31" s="12" t="n">
        <f aca="false">ICICI!H30-F31+E31</f>
        <v>86640.91</v>
      </c>
    </row>
    <row r="32" customFormat="false" ht="12.8" hidden="false" customHeight="false" outlineLevel="0" collapsed="false">
      <c r="A32" s="57" t="n">
        <f aca="false">Feb!A20</f>
        <v>45703</v>
      </c>
      <c r="B32" s="2" t="str">
        <f aca="false">Feb!B20</f>
        <v>ICICI</v>
      </c>
      <c r="C32" s="2" t="str">
        <f aca="false">Feb!C20</f>
        <v>ATM/S1CNQ071/CASH WDL/13-02-24                    </v>
      </c>
      <c r="D32" s="55" t="n">
        <v>11</v>
      </c>
      <c r="F32" s="12" t="n">
        <f aca="false">SUM(Feb!G20:H20)</f>
        <v>10000</v>
      </c>
      <c r="H32" s="12" t="n">
        <f aca="false">ICICI!H31-F32+E32</f>
        <v>76640.91</v>
      </c>
    </row>
    <row r="33" customFormat="false" ht="12.8" hidden="false" customHeight="false" outlineLevel="0" collapsed="false">
      <c r="A33" s="57" t="n">
        <f aca="false">Feb!J23</f>
        <v>45706</v>
      </c>
      <c r="B33" s="57" t="n">
        <f aca="false">Feb!K23</f>
        <v>0</v>
      </c>
      <c r="C33" s="57" t="n">
        <f aca="false">Feb!L23</f>
        <v>0</v>
      </c>
      <c r="D33" s="55" t="n">
        <v>11</v>
      </c>
      <c r="E33" s="12" t="n">
        <f aca="false">SUM(Feb!N23:O23)</f>
        <v>0</v>
      </c>
      <c r="H33" s="12" t="n">
        <f aca="false">ICICI!H32-F33+E33</f>
        <v>76640.91</v>
      </c>
    </row>
    <row r="34" customFormat="false" ht="12.8" hidden="false" customHeight="false" outlineLevel="0" collapsed="false">
      <c r="A34" s="57" t="n">
        <f aca="false">Feb!J25</f>
        <v>45708</v>
      </c>
      <c r="B34" s="57" t="n">
        <f aca="false">Feb!K25</f>
        <v>0</v>
      </c>
      <c r="C34" s="57" t="n">
        <f aca="false">Feb!L25</f>
        <v>0</v>
      </c>
      <c r="D34" s="55" t="n">
        <v>11</v>
      </c>
      <c r="E34" s="12" t="n">
        <f aca="false">SUM(Feb!N25:O25)</f>
        <v>0</v>
      </c>
      <c r="H34" s="12" t="n">
        <f aca="false">ICICI!H33-F34+E34</f>
        <v>76640.91</v>
      </c>
    </row>
    <row r="35" customFormat="false" ht="12.8" hidden="false" customHeight="false" outlineLevel="0" collapsed="false">
      <c r="A35" s="57" t="n">
        <f aca="false">Feb!J29</f>
        <v>45712</v>
      </c>
      <c r="B35" s="57" t="n">
        <f aca="false">Feb!K29</f>
        <v>0</v>
      </c>
      <c r="C35" s="57" t="n">
        <f aca="false">Feb!L29</f>
        <v>0</v>
      </c>
      <c r="D35" s="55" t="n">
        <v>11</v>
      </c>
      <c r="E35" s="12" t="n">
        <f aca="false">SUM(Feb!N29:O29)</f>
        <v>0</v>
      </c>
      <c r="H35" s="12" t="n">
        <f aca="false">ICICI!H34-F35+E35</f>
        <v>76640.91</v>
      </c>
    </row>
    <row r="36" customFormat="false" ht="12.8" hidden="false" customHeight="false" outlineLevel="0" collapsed="false">
      <c r="A36" s="57" t="n">
        <f aca="false">Feb!J31</f>
        <v>45714</v>
      </c>
      <c r="B36" s="57" t="n">
        <f aca="false">Feb!K31</f>
        <v>0</v>
      </c>
      <c r="C36" s="57" t="n">
        <f aca="false">Feb!L31</f>
        <v>0</v>
      </c>
      <c r="D36" s="55" t="n">
        <v>11</v>
      </c>
      <c r="E36" s="12" t="n">
        <f aca="false">SUM(Feb!N31:O31)</f>
        <v>0</v>
      </c>
      <c r="H36" s="12" t="n">
        <f aca="false">ICICI!H35-F36+E36</f>
        <v>76640.91</v>
      </c>
    </row>
    <row r="37" customFormat="false" ht="12.8" hidden="false" customHeight="false" outlineLevel="0" collapsed="false">
      <c r="A37" s="57" t="n">
        <f aca="false">Feb!J35</f>
        <v>45716</v>
      </c>
      <c r="B37" s="2" t="n">
        <f aca="false">Feb!K35</f>
        <v>0</v>
      </c>
      <c r="C37" s="2" t="n">
        <f aca="false">Feb!L35</f>
        <v>0</v>
      </c>
      <c r="D37" s="55" t="n">
        <v>11</v>
      </c>
      <c r="E37" s="12" t="n">
        <f aca="false">SUM(Feb!N35:O35)</f>
        <v>0</v>
      </c>
      <c r="H37" s="12" t="n">
        <f aca="false">ICICI!H36-F37+E37</f>
        <v>76640.91</v>
      </c>
    </row>
    <row r="38" customFormat="false" ht="12.8" hidden="false" customHeight="false" outlineLevel="0" collapsed="false">
      <c r="A38" s="57" t="n">
        <f aca="false">Mar!J9</f>
        <v>45720</v>
      </c>
      <c r="B38" s="2" t="str">
        <f aca="false">Mar!K9</f>
        <v>ICICI</v>
      </c>
      <c r="C38" s="2" t="str">
        <f aca="false">Mar!L9</f>
        <v>TRF/SHRI MARUTINANDAN/004572/ICI/25.02.2024       </v>
      </c>
      <c r="D38" s="55" t="n">
        <v>12</v>
      </c>
      <c r="E38" s="12" t="n">
        <f aca="false">SUM(Mar!N9:O9)</f>
        <v>2430</v>
      </c>
      <c r="H38" s="12" t="n">
        <f aca="false">ICICI!H37-F38+E38</f>
        <v>79070.91</v>
      </c>
    </row>
    <row r="39" customFormat="false" ht="12.8" hidden="false" customHeight="false" outlineLevel="0" collapsed="false">
      <c r="A39" s="57" t="n">
        <f aca="false">Mar!J21</f>
        <v>45732</v>
      </c>
      <c r="B39" s="2" t="str">
        <f aca="false">Mar!K21</f>
        <v>ICICI</v>
      </c>
      <c r="C39" s="2" t="str">
        <f aca="false">Mar!L21</f>
        <v>TRFR FROM:SHRI MARUTINANDAN HEALTHCARE PRIVATE LIM</v>
      </c>
      <c r="D39" s="55" t="n">
        <v>12</v>
      </c>
      <c r="E39" s="12" t="n">
        <f aca="false">SUM(Mar!N21:O21)</f>
        <v>2880</v>
      </c>
      <c r="H39" s="12" t="n">
        <f aca="false">ICICI!H38-F39+E39</f>
        <v>81950.91</v>
      </c>
    </row>
    <row r="40" customFormat="false" ht="12.8" hidden="false" customHeight="false" outlineLevel="0" collapsed="false">
      <c r="A40" s="57" t="n">
        <f aca="false">Mar!A22</f>
        <v>45733</v>
      </c>
      <c r="B40" s="2" t="str">
        <f aca="false">Mar!B22</f>
        <v>ICICI</v>
      </c>
      <c r="C40" s="2" t="str">
        <f aca="false">Mar!C22</f>
        <v>NFS/CASH WDL/407521989689/UN224601/AGRA     /15-03</v>
      </c>
      <c r="D40" s="55" t="n">
        <v>12</v>
      </c>
      <c r="F40" s="12" t="n">
        <f aca="false">SUM(Mar!G22:H22)</f>
        <v>10000</v>
      </c>
      <c r="H40" s="12" t="n">
        <f aca="false">ICICI!H39-F40+E40</f>
        <v>71950.91</v>
      </c>
    </row>
    <row r="41" customFormat="false" ht="12.8" hidden="false" customHeight="false" outlineLevel="0" collapsed="false">
      <c r="A41" s="57" t="n">
        <v>45382</v>
      </c>
      <c r="B41" s="2" t="s">
        <v>98</v>
      </c>
      <c r="C41" s="2" t="s">
        <v>34</v>
      </c>
      <c r="D41" s="55" t="n">
        <v>1</v>
      </c>
      <c r="F41" s="12" t="n">
        <f aca="false">H40</f>
        <v>71950.91</v>
      </c>
      <c r="H41" s="12" t="n">
        <f aca="false">ICICI!H40-F41+E41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2" width="17.86"/>
    <col collapsed="false" customWidth="true" hidden="false" outlineLevel="0" max="2" min="2" style="22" width="11.37"/>
    <col collapsed="false" customWidth="true" hidden="false" outlineLevel="0" max="3" min="3" style="22" width="19.56"/>
    <col collapsed="false" customWidth="true" hidden="false" outlineLevel="0" max="4" min="4" style="55" width="9.36"/>
    <col collapsed="false" customWidth="true" hidden="false" outlineLevel="0" max="5" min="5" style="23" width="9.36"/>
    <col collapsed="false" customWidth="true" hidden="false" outlineLevel="0" max="7" min="6" style="23" width="9.06"/>
    <col collapsed="false" customWidth="true" hidden="false" outlineLevel="0" max="8" min="8" style="23" width="10.9"/>
    <col collapsed="false" customWidth="false" hidden="false" outlineLevel="0" max="16384" min="9" style="2" width="11.53"/>
  </cols>
  <sheetData>
    <row r="1" customFormat="false" ht="12.8" hidden="false" customHeight="false" outlineLevel="0" collapsed="false">
      <c r="A1" s="5"/>
      <c r="B1" s="5"/>
      <c r="C1" s="5"/>
      <c r="D1" s="5"/>
      <c r="E1" s="56"/>
      <c r="F1" s="56"/>
      <c r="G1" s="56"/>
      <c r="H1" s="56"/>
    </row>
    <row r="2" customFormat="false" ht="12.8" hidden="false" customHeight="false" outlineLevel="0" collapsed="false">
      <c r="A2" s="7" t="s">
        <v>0</v>
      </c>
      <c r="B2" s="5"/>
      <c r="C2" s="5" t="s">
        <v>100</v>
      </c>
      <c r="D2" s="5"/>
      <c r="E2" s="56" t="s">
        <v>85</v>
      </c>
      <c r="F2" s="56"/>
      <c r="G2" s="56" t="s">
        <v>86</v>
      </c>
      <c r="H2" s="56" t="s">
        <v>87</v>
      </c>
    </row>
    <row r="3" customFormat="false" ht="12.8" hidden="false" customHeight="false" outlineLevel="0" collapsed="false">
      <c r="A3" s="5"/>
      <c r="B3" s="5"/>
      <c r="C3" s="5"/>
      <c r="D3" s="5"/>
      <c r="E3" s="56"/>
      <c r="F3" s="56"/>
      <c r="G3" s="56"/>
      <c r="H3" s="56"/>
    </row>
    <row r="4" customFormat="fals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44652</v>
      </c>
      <c r="B6" s="22" t="s">
        <v>96</v>
      </c>
      <c r="C6" s="22" t="s">
        <v>20</v>
      </c>
      <c r="E6" s="23" t="n">
        <v>1359.43</v>
      </c>
      <c r="H6" s="23" t="n">
        <f aca="false">Inst!H5-F6+E6</f>
        <v>1359.43</v>
      </c>
    </row>
    <row r="7" customFormat="false" ht="12.8" hidden="false" customHeight="false" outlineLevel="0" collapsed="false">
      <c r="A7" s="1" t="n">
        <v>44653</v>
      </c>
      <c r="B7" s="22" t="s">
        <v>100</v>
      </c>
      <c r="C7" s="22" t="n">
        <v>0</v>
      </c>
      <c r="D7" s="55" t="n">
        <v>1</v>
      </c>
      <c r="E7" s="23" t="n">
        <v>0</v>
      </c>
      <c r="H7" s="23" t="n">
        <f aca="false">Inst!H6-F7+E7</f>
        <v>1359.43</v>
      </c>
    </row>
    <row r="8" customFormat="false" ht="12.8" hidden="false" customHeight="false" outlineLevel="0" collapsed="false">
      <c r="A8" s="57" t="n">
        <v>45016</v>
      </c>
      <c r="B8" s="22" t="s">
        <v>101</v>
      </c>
      <c r="C8" s="22" t="s">
        <v>102</v>
      </c>
      <c r="F8" s="23" t="n">
        <f aca="false">(Inst!H7-Inst!H7)*0.075</f>
        <v>0</v>
      </c>
      <c r="H8" s="23" t="n">
        <f aca="false">Inst!H7-F8+E8</f>
        <v>1359.43</v>
      </c>
    </row>
    <row r="9" customFormat="false" ht="12.8" hidden="false" customHeight="false" outlineLevel="0" collapsed="false">
      <c r="A9" s="57" t="n">
        <v>45016</v>
      </c>
      <c r="B9" s="22" t="s">
        <v>101</v>
      </c>
      <c r="C9" s="22" t="s">
        <v>103</v>
      </c>
      <c r="F9" s="23" t="n">
        <f aca="false">H8*0.15</f>
        <v>203.9145</v>
      </c>
      <c r="H9" s="23" t="n">
        <f aca="false">Inst!H8-F9+E9</f>
        <v>1155.5155</v>
      </c>
    </row>
    <row r="10" customFormat="false" ht="12.8" hidden="false" customHeight="false" outlineLevel="0" collapsed="false">
      <c r="A10" s="57" t="n">
        <v>45016</v>
      </c>
      <c r="B10" s="22" t="s">
        <v>99</v>
      </c>
      <c r="C10" s="22" t="s">
        <v>34</v>
      </c>
      <c r="D10" s="55" t="n">
        <v>7</v>
      </c>
      <c r="F10" s="23" t="n">
        <f aca="false">H9</f>
        <v>1155.5155</v>
      </c>
      <c r="H10" s="23" t="n">
        <f aca="false">Inst!H9-F10+E10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9"/>
    <col collapsed="false" customWidth="true" hidden="false" outlineLevel="0" max="3" min="3" style="2" width="30.38"/>
    <col collapsed="false" customWidth="true" hidden="false" outlineLevel="0" max="4" min="4" style="55" width="9.36"/>
    <col collapsed="false" customWidth="true" hidden="false" outlineLevel="0" max="5" min="5" style="12" width="9.36"/>
    <col collapsed="false" customWidth="true" hidden="false" outlineLevel="0" max="6" min="6" style="12" width="7.04"/>
    <col collapsed="false" customWidth="true" hidden="false" outlineLevel="0" max="7" min="7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78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Oct!A32</f>
        <v>45592</v>
      </c>
      <c r="B6" s="2" t="n">
        <f aca="false">Oct!B32</f>
        <v>0</v>
      </c>
      <c r="C6" s="2" t="n">
        <f aca="false">Oct!C32</f>
        <v>0</v>
      </c>
      <c r="D6" s="55" t="n">
        <v>7</v>
      </c>
      <c r="F6" s="12" t="n">
        <f aca="false">SUM(Oct!G32:H32)</f>
        <v>0</v>
      </c>
      <c r="H6" s="12" t="n">
        <f aca="false">MedCon!H5+F6-E6</f>
        <v>0</v>
      </c>
    </row>
    <row r="7" customFormat="false" ht="12.8" hidden="false" customHeight="false" outlineLevel="0" collapsed="false">
      <c r="A7" s="57" t="n">
        <f aca="false">Nov!A23</f>
        <v>45614</v>
      </c>
      <c r="B7" s="2" t="n">
        <f aca="false">Nov!B23</f>
        <v>0</v>
      </c>
      <c r="C7" s="2" t="n">
        <f aca="false">Nov!C23</f>
        <v>0</v>
      </c>
      <c r="D7" s="55" t="n">
        <v>8</v>
      </c>
      <c r="F7" s="12" t="n">
        <f aca="false">SUM(Nov!G23:H23)</f>
        <v>0</v>
      </c>
      <c r="H7" s="12" t="n">
        <f aca="false">MedCon!H6+F7-E7</f>
        <v>0</v>
      </c>
    </row>
    <row r="8" customFormat="false" ht="12.8" hidden="false" customHeight="false" outlineLevel="0" collapsed="false">
      <c r="A8" s="57" t="n">
        <f aca="false">Feb!A14</f>
        <v>45697</v>
      </c>
      <c r="B8" s="2" t="n">
        <f aca="false">Feb!B14</f>
        <v>0</v>
      </c>
      <c r="C8" s="2" t="n">
        <f aca="false">Feb!C14</f>
        <v>0</v>
      </c>
      <c r="D8" s="55" t="n">
        <v>11</v>
      </c>
      <c r="F8" s="12" t="n">
        <f aca="false">SUM(Feb!G14:H14)</f>
        <v>0</v>
      </c>
      <c r="H8" s="12" t="n">
        <f aca="false">MedCon!H7+F8-E8</f>
        <v>0</v>
      </c>
    </row>
    <row r="9" customFormat="false" ht="12.8" hidden="false" customHeight="false" outlineLevel="0" collapsed="false">
      <c r="A9" s="57" t="n">
        <f aca="false">Feb!A35</f>
        <v>45716</v>
      </c>
      <c r="B9" s="2" t="n">
        <f aca="false">Feb!B35</f>
        <v>0</v>
      </c>
      <c r="C9" s="2" t="n">
        <f aca="false">Feb!C35</f>
        <v>0</v>
      </c>
      <c r="D9" s="55" t="n">
        <v>11</v>
      </c>
      <c r="F9" s="12" t="n">
        <f aca="false">SUM(Feb!G35:H35)</f>
        <v>0</v>
      </c>
      <c r="H9" s="12" t="n">
        <f aca="false">MedCon!H8+F9-E9</f>
        <v>0</v>
      </c>
    </row>
    <row r="10" customFormat="false" ht="12.8" hidden="false" customHeight="false" outlineLevel="0" collapsed="false">
      <c r="A10" s="57" t="n">
        <v>45382</v>
      </c>
      <c r="B10" s="2" t="s">
        <v>104</v>
      </c>
      <c r="C10" s="2" t="s">
        <v>34</v>
      </c>
      <c r="D10" s="55" t="n">
        <v>12</v>
      </c>
      <c r="E10" s="12" t="n">
        <f aca="false">H9</f>
        <v>0</v>
      </c>
      <c r="H10" s="12" t="n">
        <f aca="false">MedCon!H9+F10-E10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9"/>
    <col collapsed="false" customWidth="true" hidden="false" outlineLevel="0" max="3" min="3" style="2" width="14.31"/>
    <col collapsed="false" customWidth="true" hidden="false" outlineLevel="0" max="4" min="4" style="55" width="9.36"/>
    <col collapsed="false" customWidth="true" hidden="false" outlineLevel="0" max="5" min="5" style="12" width="9.36"/>
    <col collapsed="false" customWidth="true" hidden="false" outlineLevel="0" max="6" min="6" style="12" width="7.5"/>
    <col collapsed="false" customWidth="true" hidden="false" outlineLevel="0" max="7" min="7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79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Apr!J9</f>
        <v>45386</v>
      </c>
      <c r="B6" s="2" t="str">
        <f aca="false">Apr!K9</f>
        <v>Misc.</v>
      </c>
      <c r="C6" s="2" t="str">
        <f aca="false">Apr!L9</f>
        <v>Stationery</v>
      </c>
      <c r="D6" s="55" t="n">
        <v>1</v>
      </c>
      <c r="E6" s="12" t="n">
        <f aca="false">SUM(Apr!N9:O9)</f>
        <v>280</v>
      </c>
      <c r="H6" s="12" t="n">
        <f aca="false">misc!H5-F6+E6</f>
        <v>280</v>
      </c>
    </row>
    <row r="7" customFormat="false" ht="12.8" hidden="false" customHeight="false" outlineLevel="0" collapsed="false">
      <c r="A7" s="57" t="n">
        <v>45382</v>
      </c>
      <c r="B7" s="2" t="s">
        <v>104</v>
      </c>
      <c r="C7" s="2" t="s">
        <v>34</v>
      </c>
      <c r="D7" s="55" t="n">
        <v>12</v>
      </c>
      <c r="F7" s="12" t="n">
        <f aca="false">misc!H6</f>
        <v>280</v>
      </c>
      <c r="H7" s="12" t="n">
        <f aca="false">misc!H6-F7+E7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6.88"/>
    <col collapsed="false" customWidth="true" hidden="false" outlineLevel="0" max="3" min="3" style="2" width="15.85"/>
    <col collapsed="false" customWidth="true" hidden="false" outlineLevel="0" max="4" min="4" style="55" width="9.06"/>
    <col collapsed="false" customWidth="true" hidden="false" outlineLevel="0" max="6" min="5" style="12" width="11.68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80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94</v>
      </c>
      <c r="C6" s="2" t="s">
        <v>76</v>
      </c>
      <c r="D6" s="55" t="n">
        <v>3</v>
      </c>
      <c r="E6" s="12" t="n">
        <f aca="false">CurAs!F8</f>
        <v>193789.91</v>
      </c>
      <c r="H6" s="12" t="n">
        <f aca="false">MAs!H5-F6+E6</f>
        <v>193789.91</v>
      </c>
    </row>
    <row r="7" customFormat="false" ht="12.8" hidden="false" customHeight="false" outlineLevel="0" collapsed="false">
      <c r="A7" s="57" t="n">
        <v>45382</v>
      </c>
      <c r="B7" s="2" t="s">
        <v>105</v>
      </c>
      <c r="C7" s="2" t="s">
        <v>34</v>
      </c>
      <c r="D7" s="55" t="n">
        <v>14</v>
      </c>
      <c r="F7" s="12" t="n">
        <f aca="false">MAs!H6</f>
        <v>193789.91</v>
      </c>
      <c r="H7" s="12" t="n">
        <f aca="false">MAs!H6-F7+E7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4" activeCellId="0" sqref="E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9"/>
    <col collapsed="false" customWidth="true" hidden="false" outlineLevel="0" max="3" min="3" style="2" width="89.11"/>
    <col collapsed="false" customWidth="true" hidden="false" outlineLevel="0" max="4" min="4" style="55" width="9.36"/>
    <col collapsed="false" customWidth="true" hidden="false" outlineLevel="0" max="5" min="5" style="12" width="10.13"/>
    <col collapsed="false" customWidth="true" hidden="false" outlineLevel="0" max="7" min="6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28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Apr!A27</f>
        <v>45404</v>
      </c>
      <c r="B6" s="2" t="str">
        <f aca="false">Apr!B15</f>
        <v>Patients</v>
      </c>
      <c r="C6" s="2" t="n">
        <f aca="false">Apr!C27</f>
        <v>0</v>
      </c>
      <c r="D6" s="55" t="n">
        <v>1</v>
      </c>
      <c r="F6" s="12" t="n">
        <f aca="false">SUM(Apr!G27:H27)</f>
        <v>300</v>
      </c>
      <c r="H6" s="12" t="n">
        <f aca="false">Pt!H5+F6-E6</f>
        <v>300</v>
      </c>
    </row>
    <row r="7" customFormat="false" ht="12.8" hidden="false" customHeight="false" outlineLevel="0" collapsed="false">
      <c r="A7" s="57" t="n">
        <f aca="false">May!A9</f>
        <v>45416</v>
      </c>
      <c r="B7" s="39" t="n">
        <f aca="false">May!B9</f>
        <v>0</v>
      </c>
      <c r="C7" s="2" t="n">
        <f aca="false">May!C9</f>
        <v>0</v>
      </c>
      <c r="D7" s="55" t="n">
        <v>2</v>
      </c>
      <c r="F7" s="12" t="n">
        <f aca="false">SUM(May!G9:H9)</f>
        <v>0</v>
      </c>
      <c r="H7" s="12" t="n">
        <f aca="false">Pt!H6+F7-E7</f>
        <v>300</v>
      </c>
    </row>
    <row r="8" customFormat="false" ht="12.8" hidden="false" customHeight="false" outlineLevel="0" collapsed="false">
      <c r="A8" s="57" t="n">
        <f aca="false">Jul!A24</f>
        <v>45492</v>
      </c>
      <c r="B8" s="2" t="n">
        <f aca="false">Jul!B24</f>
        <v>0</v>
      </c>
      <c r="C8" s="2" t="n">
        <f aca="false">Jul!C24</f>
        <v>0</v>
      </c>
      <c r="D8" s="55" t="n">
        <v>4</v>
      </c>
      <c r="F8" s="12" t="n">
        <f aca="false">SUM(Jul!G24:H24)</f>
        <v>0</v>
      </c>
      <c r="H8" s="12" t="n">
        <f aca="false">Pt!H7+F8-E8</f>
        <v>300</v>
      </c>
    </row>
    <row r="9" customFormat="false" ht="12.8" hidden="false" customHeight="false" outlineLevel="0" collapsed="false">
      <c r="A9" s="57" t="n">
        <f aca="false">Aug!A21</f>
        <v>45520</v>
      </c>
      <c r="B9" s="2" t="n">
        <f aca="false">Aug!B21</f>
        <v>0</v>
      </c>
      <c r="C9" s="2" t="n">
        <f aca="false">Aug!C21</f>
        <v>0</v>
      </c>
      <c r="D9" s="55" t="n">
        <v>5</v>
      </c>
      <c r="F9" s="12" t="n">
        <f aca="false">SUM(Aug!G21:H21)</f>
        <v>0</v>
      </c>
      <c r="H9" s="12" t="n">
        <f aca="false">Pt!H8+F9-E9</f>
        <v>300</v>
      </c>
    </row>
    <row r="10" customFormat="false" ht="12.8" hidden="false" customHeight="false" outlineLevel="0" collapsed="false">
      <c r="A10" s="57" t="n">
        <f aca="false">Sep!A28</f>
        <v>45558</v>
      </c>
      <c r="B10" s="2" t="n">
        <f aca="false">Sep!B28</f>
        <v>0</v>
      </c>
      <c r="C10" s="2" t="n">
        <f aca="false">Sep!C28</f>
        <v>0</v>
      </c>
      <c r="D10" s="55" t="n">
        <v>6</v>
      </c>
      <c r="F10" s="12" t="n">
        <f aca="false">SUM(Sep!G28:H28)</f>
        <v>0</v>
      </c>
      <c r="H10" s="12" t="n">
        <f aca="false">Pt!H9+F10-E10</f>
        <v>300</v>
      </c>
    </row>
    <row r="11" customFormat="false" ht="12.8" hidden="false" customHeight="false" outlineLevel="0" collapsed="false">
      <c r="A11" s="57" t="n">
        <f aca="false">Nov!A7</f>
        <v>45598</v>
      </c>
      <c r="B11" s="2" t="n">
        <f aca="false">Nov!B7</f>
        <v>0</v>
      </c>
      <c r="C11" s="2" t="n">
        <f aca="false">Nov!C7</f>
        <v>0</v>
      </c>
      <c r="D11" s="55" t="n">
        <v>8</v>
      </c>
      <c r="F11" s="12" t="n">
        <f aca="false">SUM(Nov!G7:H7)</f>
        <v>0</v>
      </c>
      <c r="H11" s="12" t="n">
        <f aca="false">Pt!H10+F11-E11</f>
        <v>300</v>
      </c>
    </row>
    <row r="12" customFormat="false" ht="12.8" hidden="false" customHeight="false" outlineLevel="0" collapsed="false">
      <c r="A12" s="57" t="n">
        <f aca="false">Nov!A30</f>
        <v>45621</v>
      </c>
      <c r="B12" s="2" t="str">
        <f aca="false">Nov!B30</f>
        <v>Patients</v>
      </c>
      <c r="C12" s="2" t="str">
        <f aca="false">Nov!C30</f>
        <v>TRF/SHRI MARUTINANDAN/005255/ICI/13.10.2024</v>
      </c>
      <c r="D12" s="55" t="n">
        <v>8</v>
      </c>
      <c r="F12" s="12" t="n">
        <f aca="false">SUM(Nov!G30:H30)</f>
        <v>7524</v>
      </c>
      <c r="H12" s="12" t="n">
        <f aca="false">Pt!H11+F12-E12</f>
        <v>7824</v>
      </c>
    </row>
    <row r="13" customFormat="false" ht="12.8" hidden="false" customHeight="false" outlineLevel="0" collapsed="false">
      <c r="A13" s="57" t="n">
        <f aca="false">Nov!A38</f>
        <v>45626</v>
      </c>
      <c r="B13" s="2" t="n">
        <f aca="false">Nov!B38</f>
        <v>0</v>
      </c>
      <c r="C13" s="2" t="n">
        <f aca="false">Nov!C38</f>
        <v>0</v>
      </c>
      <c r="D13" s="55" t="n">
        <v>8</v>
      </c>
      <c r="F13" s="12" t="n">
        <f aca="false">SUM(Nov!G38:H38)</f>
        <v>0</v>
      </c>
      <c r="H13" s="12" t="n">
        <f aca="false">Pt!H12+F13-E13</f>
        <v>7824</v>
      </c>
    </row>
    <row r="14" customFormat="false" ht="12.8" hidden="false" customHeight="false" outlineLevel="0" collapsed="false">
      <c r="A14" s="57" t="n">
        <f aca="false">Dec!A31</f>
        <v>45652</v>
      </c>
      <c r="B14" s="2" t="str">
        <f aca="false">Dec!B31</f>
        <v>Patients</v>
      </c>
      <c r="C14" s="2" t="str">
        <f aca="false">Dec!C31</f>
        <v>UPI/aradhanajain.77/fee/UNION BANK OF I/110005115377/UOB8b5a3fb3b56040ac9f1cb2856b871638</v>
      </c>
      <c r="D14" s="55" t="n">
        <v>9</v>
      </c>
      <c r="F14" s="12" t="n">
        <f aca="false">SUM(Dec!G31:H31)</f>
        <v>300</v>
      </c>
      <c r="H14" s="12" t="n">
        <f aca="false">Pt!H13+F14-E14</f>
        <v>8124</v>
      </c>
    </row>
    <row r="15" customFormat="false" ht="12.8" hidden="false" customHeight="false" outlineLevel="0" collapsed="false">
      <c r="A15" s="57" t="n">
        <f aca="false">Jan!A29</f>
        <v>45681</v>
      </c>
      <c r="B15" s="2" t="str">
        <f aca="false">Jan!B29</f>
        <v>Patients</v>
      </c>
      <c r="C15" s="2" t="str">
        <f aca="false">Jan!C29</f>
        <v>TRF/SHRI MURTINANDAN HWEALT/004311/ICI/05.01.2024 </v>
      </c>
      <c r="D15" s="55" t="n">
        <v>10</v>
      </c>
      <c r="F15" s="12" t="n">
        <f aca="false">SUM(Jan!G29:H29)</f>
        <v>9600</v>
      </c>
      <c r="H15" s="12" t="n">
        <f aca="false">Pt!H14+F15-E15</f>
        <v>17724</v>
      </c>
    </row>
    <row r="16" customFormat="false" ht="12.8" hidden="false" customHeight="false" outlineLevel="0" collapsed="false">
      <c r="A16" s="57" t="n">
        <f aca="false">Feb!A12</f>
        <v>45695</v>
      </c>
      <c r="B16" s="2" t="n">
        <f aca="false">Feb!B12</f>
        <v>0</v>
      </c>
      <c r="C16" s="2" t="n">
        <f aca="false">Feb!C12</f>
        <v>0</v>
      </c>
      <c r="D16" s="55" t="n">
        <v>11</v>
      </c>
      <c r="F16" s="12" t="n">
        <f aca="false">SUM(Feb!G12:H12)</f>
        <v>0</v>
      </c>
      <c r="H16" s="12" t="n">
        <f aca="false">Pt!H15+F16-E16</f>
        <v>17724</v>
      </c>
    </row>
    <row r="17" customFormat="false" ht="12.8" hidden="false" customHeight="false" outlineLevel="0" collapsed="false">
      <c r="A17" s="57" t="n">
        <f aca="false">Feb!A23</f>
        <v>45706</v>
      </c>
      <c r="B17" s="2" t="n">
        <f aca="false">Feb!B23</f>
        <v>0</v>
      </c>
      <c r="C17" s="2" t="n">
        <f aca="false">Feb!C23</f>
        <v>0</v>
      </c>
      <c r="D17" s="55" t="n">
        <v>11</v>
      </c>
      <c r="F17" s="12" t="n">
        <f aca="false">SUM(Feb!G23:H23)</f>
        <v>0</v>
      </c>
      <c r="H17" s="12" t="n">
        <f aca="false">Pt!H16+F17-E17</f>
        <v>17724</v>
      </c>
    </row>
    <row r="18" customFormat="false" ht="12.8" hidden="false" customHeight="false" outlineLevel="0" collapsed="false">
      <c r="A18" s="57" t="n">
        <f aca="false">Feb!A25</f>
        <v>45708</v>
      </c>
      <c r="B18" s="2" t="n">
        <f aca="false">Feb!B25</f>
        <v>0</v>
      </c>
      <c r="C18" s="2" t="n">
        <f aca="false">Feb!C25</f>
        <v>0</v>
      </c>
      <c r="D18" s="55" t="n">
        <v>11</v>
      </c>
      <c r="F18" s="12" t="n">
        <f aca="false">SUM(Feb!G25:H25)</f>
        <v>0</v>
      </c>
      <c r="H18" s="12" t="n">
        <f aca="false">Pt!H17+F18-E18</f>
        <v>17724</v>
      </c>
    </row>
    <row r="19" customFormat="false" ht="12.8" hidden="false" customHeight="false" outlineLevel="0" collapsed="false">
      <c r="A19" s="57" t="n">
        <f aca="false">Feb!A29</f>
        <v>45712</v>
      </c>
      <c r="B19" s="2" t="n">
        <f aca="false">Feb!B29</f>
        <v>0</v>
      </c>
      <c r="C19" s="2" t="n">
        <f aca="false">Feb!C29</f>
        <v>0</v>
      </c>
      <c r="D19" s="55" t="n">
        <v>11</v>
      </c>
      <c r="F19" s="12" t="n">
        <f aca="false">SUM(Feb!G29:H29)</f>
        <v>0</v>
      </c>
      <c r="H19" s="12" t="n">
        <f aca="false">Pt!H18+F19-E19</f>
        <v>17724</v>
      </c>
    </row>
    <row r="20" customFormat="false" ht="12.8" hidden="false" customHeight="false" outlineLevel="0" collapsed="false">
      <c r="A20" s="57" t="n">
        <f aca="false">Feb!A31</f>
        <v>45714</v>
      </c>
      <c r="B20" s="2" t="n">
        <f aca="false">Feb!B31</f>
        <v>0</v>
      </c>
      <c r="C20" s="2" t="n">
        <f aca="false">Feb!C31</f>
        <v>0</v>
      </c>
      <c r="D20" s="55" t="n">
        <v>11</v>
      </c>
      <c r="F20" s="12" t="n">
        <f aca="false">SUM(Feb!G31:H31)</f>
        <v>0</v>
      </c>
      <c r="H20" s="12" t="n">
        <f aca="false">Pt!H19+F20-E20</f>
        <v>17724</v>
      </c>
    </row>
    <row r="21" customFormat="false" ht="12.8" hidden="false" customHeight="false" outlineLevel="0" collapsed="false">
      <c r="A21" s="57" t="n">
        <f aca="false">Mar!A9</f>
        <v>45720</v>
      </c>
      <c r="B21" s="2" t="str">
        <f aca="false">Mar!B9</f>
        <v>Patients</v>
      </c>
      <c r="C21" s="2" t="str">
        <f aca="false">Mar!C9</f>
        <v>TRF/SHRI MARUTINANDAN/004572/ICI/25.02.2024       </v>
      </c>
      <c r="D21" s="55" t="n">
        <v>12</v>
      </c>
      <c r="F21" s="12" t="n">
        <f aca="false">SUM(Mar!G9:H9)</f>
        <v>2700</v>
      </c>
      <c r="H21" s="12" t="n">
        <f aca="false">Pt!H20+F21-E21</f>
        <v>20424</v>
      </c>
    </row>
    <row r="22" customFormat="false" ht="12.8" hidden="false" customHeight="false" outlineLevel="0" collapsed="false">
      <c r="A22" s="57" t="n">
        <f aca="false">Mar!A21</f>
        <v>45732</v>
      </c>
      <c r="B22" s="2" t="str">
        <f aca="false">Mar!B21</f>
        <v>Patients</v>
      </c>
      <c r="C22" s="2" t="str">
        <f aca="false">Mar!C21</f>
        <v>TRFR FROM:SHRI MARUTINANDAN HEALTHCARE PRIVATE LIM</v>
      </c>
      <c r="D22" s="55" t="n">
        <v>12</v>
      </c>
      <c r="F22" s="12" t="n">
        <f aca="false">SUM(Mar!G21:H21)</f>
        <v>3200</v>
      </c>
      <c r="H22" s="12" t="n">
        <f aca="false">Pt!H21+F22-E22</f>
        <v>23624</v>
      </c>
    </row>
    <row r="23" customFormat="false" ht="12.8" hidden="false" customHeight="false" outlineLevel="0" collapsed="false">
      <c r="A23" s="57" t="n">
        <v>45382</v>
      </c>
      <c r="B23" s="2" t="s">
        <v>104</v>
      </c>
      <c r="C23" s="2" t="s">
        <v>34</v>
      </c>
      <c r="D23" s="55" t="n">
        <v>12</v>
      </c>
      <c r="E23" s="12" t="n">
        <f aca="false">H22</f>
        <v>23624</v>
      </c>
      <c r="H23" s="12" t="n">
        <f aca="false">Pt!H22+F23-E23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32" activeCellId="0" sqref="F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9"/>
    <col collapsed="false" customWidth="true" hidden="false" outlineLevel="0" max="3" min="3" style="2" width="53.56"/>
    <col collapsed="false" customWidth="true" hidden="false" outlineLevel="0" max="4" min="4" style="55" width="9.36"/>
    <col collapsed="false" customWidth="true" hidden="false" outlineLevel="0" max="6" min="5" style="12" width="10.13"/>
    <col collapsed="false" customWidth="true" hidden="false" outlineLevel="0" max="7" min="7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22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Apr!J8</f>
        <v>45385</v>
      </c>
      <c r="B6" s="2" t="str">
        <f aca="false">Apr!K8</f>
        <v>Salary</v>
      </c>
      <c r="C6" s="2" t="str">
        <f aca="false">Apr!L8</f>
        <v>Neeraj</v>
      </c>
      <c r="D6" s="55" t="n">
        <v>1</v>
      </c>
      <c r="E6" s="12" t="n">
        <f aca="false">SUM(Apr!N8:O8)</f>
        <v>3000</v>
      </c>
      <c r="H6" s="12" t="n">
        <f aca="false">Salary!H5-F6+E6</f>
        <v>3000</v>
      </c>
    </row>
    <row r="7" customFormat="false" ht="12.8" hidden="false" customHeight="false" outlineLevel="0" collapsed="false">
      <c r="A7" s="57" t="n">
        <f aca="false">Apr!J26</f>
        <v>45403</v>
      </c>
      <c r="B7" s="2" t="str">
        <f aca="false">Apr!K26</f>
        <v>Salary</v>
      </c>
      <c r="C7" s="2" t="str">
        <f aca="false">Apr!L26</f>
        <v>Gaurav</v>
      </c>
      <c r="D7" s="55" t="n">
        <v>1</v>
      </c>
      <c r="E7" s="12" t="n">
        <f aca="false">SUM(Apr!N26:O26)</f>
        <v>3000</v>
      </c>
      <c r="H7" s="12" t="n">
        <f aca="false">Salary!H6-F7+E7</f>
        <v>6000</v>
      </c>
    </row>
    <row r="8" customFormat="false" ht="12.8" hidden="false" customHeight="false" outlineLevel="0" collapsed="false">
      <c r="A8" s="57" t="n">
        <f aca="false">May!J12</f>
        <v>45419</v>
      </c>
      <c r="B8" s="2" t="str">
        <f aca="false">May!K12</f>
        <v>Salary</v>
      </c>
      <c r="C8" s="2" t="str">
        <f aca="false">May!L12</f>
        <v>Neeraj</v>
      </c>
      <c r="D8" s="55" t="n">
        <v>2</v>
      </c>
      <c r="E8" s="12" t="n">
        <f aca="false">SUM(May!N12:O12)</f>
        <v>3000</v>
      </c>
      <c r="H8" s="12" t="n">
        <f aca="false">Salary!H7-F8+E8</f>
        <v>9000</v>
      </c>
    </row>
    <row r="9" customFormat="false" ht="12.8" hidden="false" customHeight="false" outlineLevel="0" collapsed="false">
      <c r="A9" s="57" t="n">
        <f aca="false">May!J27</f>
        <v>45434</v>
      </c>
      <c r="B9" s="2" t="str">
        <f aca="false">May!K27</f>
        <v>ICICI</v>
      </c>
      <c r="C9" s="2" t="str">
        <f aca="false">May!L27</f>
        <v>TRF/MARUTINANDAN HEALTHCARE/004877/ICI/03.05.2024</v>
      </c>
      <c r="D9" s="55" t="n">
        <v>2</v>
      </c>
      <c r="E9" s="12" t="n">
        <f aca="false">SUM(May!N27:O27)</f>
        <v>2160</v>
      </c>
      <c r="H9" s="12" t="n">
        <f aca="false">Salary!H8-F9+E9</f>
        <v>11160</v>
      </c>
    </row>
    <row r="10" customFormat="false" ht="12.8" hidden="false" customHeight="false" outlineLevel="0" collapsed="false">
      <c r="A10" s="57" t="n">
        <f aca="false">Jun!J8</f>
        <v>45444</v>
      </c>
      <c r="B10" s="2" t="str">
        <f aca="false">Jun!K8</f>
        <v>TDStoIT</v>
      </c>
      <c r="C10" s="2" t="n">
        <f aca="false">Jun!L8</f>
        <v>0</v>
      </c>
      <c r="D10" s="55" t="n">
        <v>3</v>
      </c>
      <c r="E10" s="12" t="n">
        <f aca="false">SUM(Jun!N8:O8)</f>
        <v>630</v>
      </c>
      <c r="H10" s="12" t="n">
        <f aca="false">Salary!H9-F10+E10</f>
        <v>11790</v>
      </c>
    </row>
    <row r="11" customFormat="false" ht="12.8" hidden="false" customHeight="false" outlineLevel="0" collapsed="false">
      <c r="A11" s="57" t="n">
        <f aca="false">Jun!J27</f>
        <v>45465</v>
      </c>
      <c r="B11" s="2" t="str">
        <f aca="false">Jun!K27</f>
        <v>Salary</v>
      </c>
      <c r="C11" s="2" t="str">
        <f aca="false">Jun!L27</f>
        <v>Gaurav</v>
      </c>
      <c r="D11" s="55" t="n">
        <v>3</v>
      </c>
      <c r="E11" s="12" t="n">
        <f aca="false">SUM(Jun!N27:O27)</f>
        <v>3000</v>
      </c>
      <c r="H11" s="12" t="n">
        <f aca="false">Salary!H10-F11+E11</f>
        <v>14790</v>
      </c>
    </row>
    <row r="12" customFormat="false" ht="12.8" hidden="false" customHeight="false" outlineLevel="0" collapsed="false">
      <c r="A12" s="57" t="n">
        <f aca="false">Jul!J9</f>
        <v>45477</v>
      </c>
      <c r="B12" s="2" t="str">
        <f aca="false">Jul!K9</f>
        <v>Salary</v>
      </c>
      <c r="C12" s="2" t="str">
        <f aca="false">Jul!L9</f>
        <v>Neeraj</v>
      </c>
      <c r="D12" s="55" t="n">
        <v>4</v>
      </c>
      <c r="E12" s="12" t="n">
        <f aca="false">SUM(Jul!N9:O9)</f>
        <v>3000</v>
      </c>
      <c r="H12" s="12" t="n">
        <f aca="false">Salary!H11-F12+E12</f>
        <v>17790</v>
      </c>
    </row>
    <row r="13" customFormat="false" ht="12.8" hidden="false" customHeight="false" outlineLevel="0" collapsed="false">
      <c r="A13" s="57" t="n">
        <f aca="false">Jul!J28</f>
        <v>45496</v>
      </c>
      <c r="B13" s="2" t="str">
        <f aca="false">Jul!K28</f>
        <v>Salary</v>
      </c>
      <c r="C13" s="2" t="str">
        <f aca="false">Jul!L28</f>
        <v>Gaurav</v>
      </c>
      <c r="D13" s="55" t="n">
        <v>4</v>
      </c>
      <c r="E13" s="12" t="n">
        <f aca="false">SUM(Jul!N28:O28)</f>
        <v>3000</v>
      </c>
      <c r="H13" s="12" t="n">
        <f aca="false">Salary!H12-F13+E13</f>
        <v>20790</v>
      </c>
    </row>
    <row r="14" customFormat="false" ht="12.8" hidden="false" customHeight="false" outlineLevel="0" collapsed="false">
      <c r="A14" s="57" t="n">
        <f aca="false">Aug!J7</f>
        <v>45506</v>
      </c>
      <c r="B14" s="2" t="str">
        <f aca="false">Aug!K7</f>
        <v>Salary</v>
      </c>
      <c r="C14" s="2" t="str">
        <f aca="false">Aug!L7</f>
        <v>Neeraj</v>
      </c>
      <c r="D14" s="55" t="n">
        <v>5</v>
      </c>
      <c r="E14" s="12" t="n">
        <f aca="false">SUM(Aug!N7:O7)</f>
        <v>3000</v>
      </c>
      <c r="H14" s="12" t="n">
        <f aca="false">Salary!H13-F14+E14</f>
        <v>23790</v>
      </c>
    </row>
    <row r="15" customFormat="false" ht="12.8" hidden="false" customHeight="false" outlineLevel="0" collapsed="false">
      <c r="A15" s="57" t="n">
        <f aca="false">Aug!J29</f>
        <v>45527</v>
      </c>
      <c r="B15" s="2" t="str">
        <f aca="false">Aug!K29</f>
        <v>ICICI</v>
      </c>
      <c r="C15" s="2" t="str">
        <f aca="false">Aug!L29</f>
        <v>CLG/SHRI MARUTI NANDAN/278144/CAB/08.08.2024</v>
      </c>
      <c r="D15" s="55" t="n">
        <v>5</v>
      </c>
      <c r="E15" s="12" t="n">
        <f aca="false">SUM(Aug!N29:O29)</f>
        <v>11160</v>
      </c>
      <c r="H15" s="12" t="n">
        <f aca="false">Salary!H14-F15+E15</f>
        <v>34950</v>
      </c>
    </row>
    <row r="16" customFormat="false" ht="12.8" hidden="false" customHeight="false" outlineLevel="0" collapsed="false">
      <c r="A16" s="57" t="n">
        <f aca="false">Sep!J7</f>
        <v>45537</v>
      </c>
      <c r="B16" s="2" t="str">
        <f aca="false">Sep!K7</f>
        <v>Salary</v>
      </c>
      <c r="C16" s="2" t="str">
        <f aca="false">Sep!L7</f>
        <v>Neeraj</v>
      </c>
      <c r="D16" s="55" t="n">
        <v>6</v>
      </c>
      <c r="E16" s="12" t="n">
        <f aca="false">SUM(Sep!N7:O7)</f>
        <v>3000</v>
      </c>
      <c r="H16" s="12" t="n">
        <f aca="false">Salary!H15-F16+E16</f>
        <v>37950</v>
      </c>
    </row>
    <row r="17" customFormat="false" ht="12.8" hidden="false" customHeight="false" outlineLevel="0" collapsed="false">
      <c r="A17" s="57" t="n">
        <f aca="false">Sep!J25</f>
        <v>45555</v>
      </c>
      <c r="B17" s="2" t="str">
        <f aca="false">Sep!K25</f>
        <v>Salary</v>
      </c>
      <c r="C17" s="2" t="str">
        <f aca="false">Sep!L25</f>
        <v>Gaurav</v>
      </c>
      <c r="D17" s="55" t="n">
        <v>6</v>
      </c>
      <c r="E17" s="12" t="n">
        <f aca="false">SUM(Sep!N25:O25)</f>
        <v>3000</v>
      </c>
      <c r="H17" s="12" t="n">
        <f aca="false">Salary!H16-F17+E17</f>
        <v>40950</v>
      </c>
    </row>
    <row r="18" customFormat="false" ht="12.8" hidden="false" customHeight="false" outlineLevel="0" collapsed="false">
      <c r="A18" s="57" t="n">
        <f aca="false">Oct!J7</f>
        <v>45567</v>
      </c>
      <c r="B18" s="2" t="str">
        <f aca="false">Oct!K7</f>
        <v>Veh. Exp.</v>
      </c>
      <c r="C18" s="2" t="str">
        <f aca="false">Oct!L7</f>
        <v>Petrol</v>
      </c>
      <c r="D18" s="55" t="n">
        <v>7</v>
      </c>
      <c r="E18" s="12" t="n">
        <f aca="false">SUM(Oct!N7:O7)</f>
        <v>1000</v>
      </c>
      <c r="H18" s="12" t="n">
        <f aca="false">Salary!H17-F18+E18</f>
        <v>41950</v>
      </c>
    </row>
    <row r="19" customFormat="false" ht="12.8" hidden="false" customHeight="false" outlineLevel="0" collapsed="false">
      <c r="A19" s="57" t="n">
        <f aca="false">Oct!J25</f>
        <v>45585</v>
      </c>
      <c r="B19" s="2" t="str">
        <f aca="false">Oct!K25</f>
        <v>Salary</v>
      </c>
      <c r="C19" s="2" t="str">
        <f aca="false">Oct!L25</f>
        <v>Gaurav</v>
      </c>
      <c r="D19" s="55" t="n">
        <v>7</v>
      </c>
      <c r="E19" s="12" t="n">
        <f aca="false">SUM(Oct!N25:O25)</f>
        <v>3000</v>
      </c>
      <c r="H19" s="12" t="n">
        <f aca="false">Salary!H18-F19+E19</f>
        <v>44950</v>
      </c>
    </row>
    <row r="20" customFormat="false" ht="12.8" hidden="false" customHeight="false" outlineLevel="0" collapsed="false">
      <c r="A20" s="57" t="n">
        <f aca="false">Nov!J9</f>
        <v>45600</v>
      </c>
      <c r="B20" s="2" t="str">
        <f aca="false">Nov!K9</f>
        <v>Salary</v>
      </c>
      <c r="C20" s="2" t="str">
        <f aca="false">Nov!L9</f>
        <v>Neeraj</v>
      </c>
      <c r="D20" s="55" t="n">
        <v>8</v>
      </c>
      <c r="E20" s="12" t="n">
        <f aca="false">SUM(Nov!N9:O9)</f>
        <v>3000</v>
      </c>
      <c r="H20" s="12" t="n">
        <f aca="false">Salary!H19-F20+E20</f>
        <v>47950</v>
      </c>
    </row>
    <row r="21" customFormat="false" ht="12.8" hidden="false" customHeight="false" outlineLevel="0" collapsed="false">
      <c r="A21" s="57" t="n">
        <f aca="false">Nov!J22</f>
        <v>45613</v>
      </c>
      <c r="B21" s="2" t="str">
        <f aca="false">Nov!K22</f>
        <v>Salary</v>
      </c>
      <c r="C21" s="2" t="str">
        <f aca="false">Nov!L22</f>
        <v>Gaurav</v>
      </c>
      <c r="D21" s="55" t="n">
        <v>8</v>
      </c>
      <c r="E21" s="12" t="n">
        <f aca="false">SUM(Nov!N22:O22)</f>
        <v>3000</v>
      </c>
      <c r="H21" s="12" t="n">
        <f aca="false">Salary!H20-F21+E21</f>
        <v>50950</v>
      </c>
    </row>
    <row r="22" customFormat="false" ht="12.8" hidden="false" customHeight="false" outlineLevel="0" collapsed="false">
      <c r="A22" s="57" t="n">
        <f aca="false">Dec!J7</f>
        <v>45628</v>
      </c>
      <c r="B22" s="2" t="str">
        <f aca="false">Dec!K7</f>
        <v>Salary</v>
      </c>
      <c r="C22" s="2" t="str">
        <f aca="false">Dec!L7</f>
        <v>Neeraj</v>
      </c>
      <c r="D22" s="55" t="n">
        <v>9</v>
      </c>
      <c r="E22" s="12" t="n">
        <f aca="false">SUM(Dec!N7:O7)</f>
        <v>3000</v>
      </c>
      <c r="H22" s="12" t="n">
        <f aca="false">Salary!H21-F22+E22</f>
        <v>53950</v>
      </c>
    </row>
    <row r="23" customFormat="false" ht="12.8" hidden="false" customHeight="false" outlineLevel="0" collapsed="false">
      <c r="A23" s="57" t="n">
        <f aca="false">Dec!J26</f>
        <v>45647</v>
      </c>
      <c r="B23" s="2" t="str">
        <f aca="false">Dec!K26</f>
        <v>Salary</v>
      </c>
      <c r="C23" s="2" t="str">
        <f aca="false">Dec!L26</f>
        <v>Gaurav</v>
      </c>
      <c r="D23" s="55" t="n">
        <v>9</v>
      </c>
      <c r="E23" s="12" t="n">
        <f aca="false">SUM(Dec!N26:O26)</f>
        <v>3000</v>
      </c>
      <c r="H23" s="12" t="n">
        <f aca="false">Salary!H22-F23+E23</f>
        <v>56950</v>
      </c>
    </row>
    <row r="24" customFormat="false" ht="12.8" hidden="false" customHeight="false" outlineLevel="0" collapsed="false">
      <c r="A24" s="57" t="n">
        <f aca="false">Jan!J7</f>
        <v>45659</v>
      </c>
      <c r="B24" s="2" t="str">
        <f aca="false">Jan!K7</f>
        <v>Salary</v>
      </c>
      <c r="C24" s="2" t="str">
        <f aca="false">Jan!L7</f>
        <v>Neeraj</v>
      </c>
      <c r="D24" s="55" t="n">
        <v>10</v>
      </c>
      <c r="E24" s="12" t="n">
        <f aca="false">SUM(Jan!N7:O7)</f>
        <v>3000</v>
      </c>
      <c r="H24" s="12" t="n">
        <f aca="false">Salary!H23-F24+E24</f>
        <v>59950</v>
      </c>
    </row>
    <row r="25" customFormat="false" ht="12.8" hidden="false" customHeight="false" outlineLevel="0" collapsed="false">
      <c r="A25" s="57" t="n">
        <f aca="false">Jan!J25</f>
        <v>45677</v>
      </c>
      <c r="B25" s="2" t="str">
        <f aca="false">Jan!K25</f>
        <v>Salary</v>
      </c>
      <c r="C25" s="2" t="str">
        <f aca="false">Jan!L25</f>
        <v>Gaurav</v>
      </c>
      <c r="D25" s="55" t="n">
        <v>10</v>
      </c>
      <c r="E25" s="12" t="n">
        <f aca="false">SUM(Jan!N25:O25)</f>
        <v>3000</v>
      </c>
      <c r="H25" s="12" t="n">
        <f aca="false">Salary!H24-F25+E25</f>
        <v>62950</v>
      </c>
    </row>
    <row r="26" customFormat="false" ht="12.8" hidden="false" customHeight="false" outlineLevel="0" collapsed="false">
      <c r="A26" s="57" t="n">
        <f aca="false">Feb!J7</f>
        <v>45690</v>
      </c>
      <c r="B26" s="2" t="str">
        <f aca="false">Feb!K7</f>
        <v>Salary</v>
      </c>
      <c r="C26" s="2" t="str">
        <f aca="false">Feb!L7</f>
        <v>Neeraj</v>
      </c>
      <c r="D26" s="55" t="n">
        <v>11</v>
      </c>
      <c r="E26" s="12" t="n">
        <f aca="false">SUM(Feb!N7:O7)</f>
        <v>3000</v>
      </c>
      <c r="H26" s="12" t="n">
        <f aca="false">Salary!H25-F26+E26</f>
        <v>65950</v>
      </c>
    </row>
    <row r="27" customFormat="false" ht="12.8" hidden="false" customHeight="false" outlineLevel="0" collapsed="false">
      <c r="A27" s="57" t="n">
        <f aca="false">Feb!J28</f>
        <v>45711</v>
      </c>
      <c r="B27" s="2" t="str">
        <f aca="false">Feb!K28</f>
        <v>Salary</v>
      </c>
      <c r="C27" s="2" t="str">
        <f aca="false">Feb!L28</f>
        <v>Gaurav</v>
      </c>
      <c r="D27" s="55" t="n">
        <v>11</v>
      </c>
      <c r="E27" s="12" t="n">
        <f aca="false">SUM(Feb!N28:O28)</f>
        <v>3000</v>
      </c>
      <c r="H27" s="12" t="n">
        <f aca="false">Salary!H26-F27+E27</f>
        <v>68950</v>
      </c>
    </row>
    <row r="28" customFormat="false" ht="12.8" hidden="false" customHeight="false" outlineLevel="0" collapsed="false">
      <c r="A28" s="57" t="n">
        <f aca="false">Mar!J7</f>
        <v>45718</v>
      </c>
      <c r="B28" s="2" t="str">
        <f aca="false">Mar!K7</f>
        <v>Salary</v>
      </c>
      <c r="C28" s="2" t="str">
        <f aca="false">Mar!L7</f>
        <v>Neeraj</v>
      </c>
      <c r="D28" s="55" t="n">
        <v>12</v>
      </c>
      <c r="E28" s="12" t="n">
        <f aca="false">SUM(Mar!N7:O7)</f>
        <v>3000</v>
      </c>
      <c r="H28" s="12" t="n">
        <f aca="false">Salary!H27-F28+E28</f>
        <v>71950</v>
      </c>
    </row>
    <row r="29" customFormat="false" ht="12.8" hidden="false" customHeight="false" outlineLevel="0" collapsed="false">
      <c r="A29" s="57" t="n">
        <f aca="false">Mar!J25</f>
        <v>45736</v>
      </c>
      <c r="B29" s="2" t="str">
        <f aca="false">Mar!K25</f>
        <v>Salary</v>
      </c>
      <c r="C29" s="2" t="str">
        <f aca="false">Mar!L25</f>
        <v>Gaurav</v>
      </c>
      <c r="D29" s="55" t="n">
        <v>12</v>
      </c>
      <c r="E29" s="12" t="n">
        <f aca="false">SUM(Mar!N25:O25)</f>
        <v>3000</v>
      </c>
      <c r="H29" s="12" t="n">
        <f aca="false">Salary!H28-F29+E29</f>
        <v>74950</v>
      </c>
    </row>
    <row r="30" customFormat="false" ht="12.8" hidden="false" customHeight="false" outlineLevel="0" collapsed="false">
      <c r="A30" s="57" t="n">
        <v>45382</v>
      </c>
      <c r="B30" s="2" t="s">
        <v>104</v>
      </c>
      <c r="C30" s="2" t="s">
        <v>34</v>
      </c>
      <c r="D30" s="55" t="n">
        <v>12</v>
      </c>
      <c r="F30" s="12" t="n">
        <f aca="false">Salary!H29</f>
        <v>74950</v>
      </c>
      <c r="H30" s="12" t="n">
        <f aca="false">Salary!H29-F30+E30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30" activeCellId="0" sqref="L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22"/>
    <col collapsed="false" customWidth="true" hidden="false" outlineLevel="0" max="3" min="3" style="2" width="11.83"/>
    <col collapsed="false" customWidth="true" hidden="false" outlineLevel="0" max="4" min="4" style="55" width="9.36"/>
    <col collapsed="false" customWidth="true" hidden="false" outlineLevel="0" max="5" min="5" style="12" width="9.36"/>
    <col collapsed="false" customWidth="true" hidden="false" outlineLevel="0" max="7" min="6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38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Jul!J25</f>
        <v>45493</v>
      </c>
      <c r="B6" s="2" t="n">
        <f aca="false">Jul!K25</f>
        <v>0</v>
      </c>
      <c r="C6" s="2" t="n">
        <f aca="false">Jul!L25</f>
        <v>0</v>
      </c>
      <c r="D6" s="55" t="n">
        <v>4</v>
      </c>
      <c r="E6" s="12" t="n">
        <f aca="false">SUM(Jul!N25:O25)</f>
        <v>0</v>
      </c>
      <c r="H6" s="12" t="n">
        <f aca="false">TDStoIT!H5-F6+E6</f>
        <v>0</v>
      </c>
    </row>
    <row r="7" customFormat="false" ht="12.8" hidden="false" customHeight="false" outlineLevel="0" collapsed="false">
      <c r="A7" s="57" t="n">
        <f aca="false">Aug!J22</f>
        <v>45521</v>
      </c>
      <c r="B7" s="2" t="n">
        <f aca="false">Aug!K22</f>
        <v>0</v>
      </c>
      <c r="C7" s="2" t="n">
        <f aca="false">Aug!L22</f>
        <v>0</v>
      </c>
      <c r="D7" s="55" t="n">
        <v>5</v>
      </c>
      <c r="E7" s="12" t="n">
        <f aca="false">SUM(Aug!N22:O22)</f>
        <v>0</v>
      </c>
      <c r="H7" s="12" t="n">
        <f aca="false">TDStoIT!H6-F7+E7</f>
        <v>0</v>
      </c>
    </row>
    <row r="8" customFormat="false" ht="12.8" hidden="false" customHeight="false" outlineLevel="0" collapsed="false">
      <c r="A8" s="57" t="n">
        <f aca="false">Oct!J33</f>
        <v>45593</v>
      </c>
      <c r="B8" s="2" t="n">
        <f aca="false">Oct!K33</f>
        <v>0</v>
      </c>
      <c r="C8" s="2" t="n">
        <f aca="false">Oct!L33</f>
        <v>0</v>
      </c>
      <c r="D8" s="55" t="n">
        <v>7</v>
      </c>
      <c r="E8" s="12" t="n">
        <f aca="false">SUM(Oct!N33:O33)</f>
        <v>0</v>
      </c>
      <c r="H8" s="12" t="n">
        <f aca="false">TDStoIT!H7-F8+E8</f>
        <v>0</v>
      </c>
    </row>
    <row r="9" customFormat="false" ht="12.8" hidden="false" customHeight="false" outlineLevel="0" collapsed="false">
      <c r="A9" s="57" t="n">
        <f aca="false">Nov!J8</f>
        <v>45599</v>
      </c>
      <c r="B9" s="2" t="n">
        <f aca="false">Nov!K8</f>
        <v>0</v>
      </c>
      <c r="C9" s="2" t="n">
        <f aca="false">Nov!L8</f>
        <v>0</v>
      </c>
      <c r="D9" s="55" t="n">
        <v>8</v>
      </c>
      <c r="E9" s="12" t="n">
        <f aca="false">SUM(Nov!N8:O8)</f>
        <v>0</v>
      </c>
      <c r="H9" s="12" t="n">
        <f aca="false">TDStoIT!H8-F9+E9</f>
        <v>0</v>
      </c>
    </row>
    <row r="10" customFormat="false" ht="12.8" hidden="false" customHeight="false" outlineLevel="0" collapsed="false">
      <c r="A10" s="57" t="n">
        <f aca="false">Nov!J24</f>
        <v>45615</v>
      </c>
      <c r="B10" s="2" t="str">
        <f aca="false">Nov!K24</f>
        <v>TDStoIT</v>
      </c>
      <c r="C10" s="2" t="n">
        <f aca="false">Nov!L24</f>
        <v>0</v>
      </c>
      <c r="D10" s="55" t="n">
        <v>8</v>
      </c>
      <c r="E10" s="12" t="n">
        <f aca="false">SUM(Nov!N24:O24)</f>
        <v>0</v>
      </c>
      <c r="H10" s="12" t="n">
        <f aca="false">TDStoIT!H9-F10+E10</f>
        <v>0</v>
      </c>
    </row>
    <row r="11" customFormat="false" ht="12.8" hidden="false" customHeight="false" outlineLevel="0" collapsed="false">
      <c r="A11" s="57" t="n">
        <f aca="false">Nov!J31</f>
        <v>45621</v>
      </c>
      <c r="B11" s="2" t="str">
        <f aca="false">Nov!K31</f>
        <v>TDStoIT</v>
      </c>
      <c r="C11" s="2" t="n">
        <f aca="false">Nov!L31</f>
        <v>0</v>
      </c>
      <c r="D11" s="55" t="n">
        <v>8</v>
      </c>
      <c r="E11" s="12" t="n">
        <f aca="false">SUM(Nov!N31:O31)</f>
        <v>684</v>
      </c>
      <c r="H11" s="12" t="n">
        <f aca="false">TDStoIT!H10-F11+E11</f>
        <v>684</v>
      </c>
    </row>
    <row r="12" customFormat="false" ht="12.8" hidden="false" customHeight="false" outlineLevel="0" collapsed="false">
      <c r="A12" s="57" t="n">
        <f aca="false">Nov!J39</f>
        <v>45626</v>
      </c>
      <c r="B12" s="2" t="n">
        <f aca="false">Nov!K39</f>
        <v>0</v>
      </c>
      <c r="C12" s="2" t="n">
        <f aca="false">Nov!L39</f>
        <v>0</v>
      </c>
      <c r="D12" s="55" t="n">
        <v>8</v>
      </c>
      <c r="E12" s="12" t="n">
        <f aca="false">SUM(Nov!N39:O39)</f>
        <v>0</v>
      </c>
      <c r="H12" s="12" t="n">
        <f aca="false">TDStoIT!H11-F12+E12</f>
        <v>684</v>
      </c>
    </row>
    <row r="13" customFormat="false" ht="12.8" hidden="false" customHeight="false" outlineLevel="0" collapsed="false">
      <c r="A13" s="57" t="n">
        <f aca="false">Dec!J32</f>
        <v>45653</v>
      </c>
      <c r="B13" s="2" t="n">
        <f aca="false">Dec!K32</f>
        <v>0</v>
      </c>
      <c r="C13" s="2" t="n">
        <f aca="false">Dec!L32</f>
        <v>0</v>
      </c>
      <c r="D13" s="55" t="n">
        <v>9</v>
      </c>
      <c r="E13" s="12" t="n">
        <f aca="false">SUM(Dec!N32:O32)</f>
        <v>0</v>
      </c>
      <c r="H13" s="12" t="n">
        <f aca="false">TDStoIT!H12-F13+E13</f>
        <v>684</v>
      </c>
    </row>
    <row r="14" customFormat="false" ht="12.8" hidden="false" customHeight="false" outlineLevel="0" collapsed="false">
      <c r="A14" s="57" t="n">
        <f aca="false">Jan!J30</f>
        <v>45682</v>
      </c>
      <c r="B14" s="2" t="str">
        <f aca="false">Jan!K30</f>
        <v>TDStoIT</v>
      </c>
      <c r="C14" s="2" t="str">
        <f aca="false">Jan!L30</f>
        <v> </v>
      </c>
      <c r="D14" s="55" t="n">
        <v>10</v>
      </c>
      <c r="E14" s="12" t="n">
        <f aca="false">SUM(Jan!N30:O30)</f>
        <v>960</v>
      </c>
      <c r="H14" s="12" t="n">
        <f aca="false">TDStoIT!H13-F14+E14</f>
        <v>1644</v>
      </c>
    </row>
    <row r="15" customFormat="false" ht="12.8" hidden="false" customHeight="false" outlineLevel="0" collapsed="false">
      <c r="A15" s="57" t="n">
        <f aca="false">Feb!J13</f>
        <v>45696</v>
      </c>
      <c r="B15" s="57" t="str">
        <f aca="false">Feb!K19</f>
        <v>TDStoIT</v>
      </c>
      <c r="D15" s="55" t="n">
        <v>11</v>
      </c>
      <c r="E15" s="12" t="n">
        <f aca="false">SUM(Feb!N13:O13)</f>
        <v>0</v>
      </c>
      <c r="H15" s="12" t="n">
        <f aca="false">TDStoIT!H14-F15+E15</f>
        <v>1644</v>
      </c>
    </row>
    <row r="16" customFormat="false" ht="12.8" hidden="false" customHeight="false" outlineLevel="0" collapsed="false">
      <c r="A16" s="57" t="n">
        <f aca="false">Feb!J15</f>
        <v>45698</v>
      </c>
      <c r="B16" s="57" t="n">
        <f aca="false">Feb!K15</f>
        <v>0</v>
      </c>
      <c r="C16" s="57"/>
      <c r="D16" s="55" t="n">
        <v>11</v>
      </c>
      <c r="E16" s="12" t="n">
        <f aca="false">SUM(Feb!N15:O15)</f>
        <v>0</v>
      </c>
      <c r="H16" s="12" t="n">
        <f aca="false">TDStoIT!H15-F16+E16</f>
        <v>1644</v>
      </c>
    </row>
    <row r="17" customFormat="false" ht="12.8" hidden="false" customHeight="false" outlineLevel="0" collapsed="false">
      <c r="A17" s="57" t="n">
        <f aca="false">Feb!J24</f>
        <v>45707</v>
      </c>
      <c r="B17" s="57" t="n">
        <f aca="false">Feb!K24</f>
        <v>0</v>
      </c>
      <c r="C17" s="2" t="str">
        <f aca="false">Feb!L16</f>
        <v> </v>
      </c>
      <c r="D17" s="55" t="n">
        <v>11</v>
      </c>
      <c r="E17" s="12" t="n">
        <f aca="false">SUM(Feb!N24:O24)</f>
        <v>0</v>
      </c>
      <c r="H17" s="12" t="n">
        <f aca="false">TDStoIT!H16-F17+E17</f>
        <v>1644</v>
      </c>
    </row>
    <row r="18" customFormat="false" ht="12.8" hidden="false" customHeight="false" outlineLevel="0" collapsed="false">
      <c r="A18" s="57" t="n">
        <f aca="false">Feb!J26</f>
        <v>45709</v>
      </c>
      <c r="B18" s="57" t="n">
        <f aca="false">Feb!K26</f>
        <v>0</v>
      </c>
      <c r="D18" s="55" t="n">
        <v>11</v>
      </c>
      <c r="E18" s="12" t="n">
        <f aca="false">SUM(Feb!N26:O26)</f>
        <v>0</v>
      </c>
      <c r="H18" s="12" t="n">
        <f aca="false">TDStoIT!H17-F18+E18</f>
        <v>1644</v>
      </c>
    </row>
    <row r="19" customFormat="false" ht="12.8" hidden="false" customHeight="false" outlineLevel="0" collapsed="false">
      <c r="A19" s="57" t="n">
        <f aca="false">Feb!J30</f>
        <v>45713</v>
      </c>
      <c r="B19" s="57" t="n">
        <f aca="false">Feb!K30</f>
        <v>0</v>
      </c>
      <c r="D19" s="55" t="n">
        <v>11</v>
      </c>
      <c r="E19" s="12" t="n">
        <f aca="false">SUM(Feb!N30:O30)</f>
        <v>0</v>
      </c>
      <c r="H19" s="12" t="n">
        <f aca="false">TDStoIT!H18-F19+E19</f>
        <v>1644</v>
      </c>
    </row>
    <row r="20" customFormat="false" ht="12.8" hidden="false" customHeight="false" outlineLevel="0" collapsed="false">
      <c r="A20" s="57" t="n">
        <f aca="false">Feb!J32</f>
        <v>45715</v>
      </c>
      <c r="B20" s="57" t="n">
        <f aca="false">Feb!K32</f>
        <v>0</v>
      </c>
      <c r="D20" s="55" t="n">
        <v>11</v>
      </c>
      <c r="E20" s="12" t="n">
        <f aca="false">SUM(Feb!N32:O32)</f>
        <v>0</v>
      </c>
      <c r="H20" s="12" t="n">
        <f aca="false">TDStoIT!H19-F20+E20</f>
        <v>1644</v>
      </c>
    </row>
    <row r="21" customFormat="false" ht="12.8" hidden="false" customHeight="false" outlineLevel="0" collapsed="false">
      <c r="A21" s="57" t="n">
        <f aca="false">Feb!J36</f>
        <v>45716</v>
      </c>
      <c r="B21" s="57" t="n">
        <f aca="false">Feb!K36</f>
        <v>0</v>
      </c>
      <c r="C21" s="2" t="n">
        <f aca="false">Feb!L36</f>
        <v>0</v>
      </c>
      <c r="D21" s="55" t="n">
        <v>11</v>
      </c>
      <c r="E21" s="12" t="n">
        <f aca="false">SUM(Feb!N36:O36)</f>
        <v>0</v>
      </c>
      <c r="H21" s="12" t="n">
        <f aca="false">TDStoIT!H20-F21+E21</f>
        <v>1644</v>
      </c>
    </row>
    <row r="22" customFormat="false" ht="12.8" hidden="false" customHeight="false" outlineLevel="0" collapsed="false">
      <c r="A22" s="57" t="n">
        <f aca="false">Mar!J10</f>
        <v>45721</v>
      </c>
      <c r="B22" s="2" t="str">
        <f aca="false">Mar!K10</f>
        <v>TDStoIT</v>
      </c>
      <c r="C22" s="2" t="str">
        <f aca="false">Mar!L10</f>
        <v> </v>
      </c>
      <c r="D22" s="55" t="n">
        <v>12</v>
      </c>
      <c r="E22" s="12" t="n">
        <f aca="false">SUM(Mar!N10:O10)</f>
        <v>270</v>
      </c>
      <c r="H22" s="12" t="n">
        <f aca="false">TDStoIT!H21-F22+E22</f>
        <v>1914</v>
      </c>
    </row>
    <row r="23" customFormat="false" ht="12.8" hidden="false" customHeight="false" outlineLevel="0" collapsed="false">
      <c r="A23" s="57" t="n">
        <f aca="false">Mar!J22</f>
        <v>45733</v>
      </c>
      <c r="B23" s="2" t="str">
        <f aca="false">Mar!K22</f>
        <v>TDStoIT</v>
      </c>
      <c r="C23" s="2" t="str">
        <f aca="false">Mar!L22</f>
        <v> </v>
      </c>
      <c r="D23" s="55" t="n">
        <v>12</v>
      </c>
      <c r="E23" s="12" t="n">
        <f aca="false">SUM(Mar!N22:O22)</f>
        <v>320</v>
      </c>
      <c r="H23" s="12" t="n">
        <f aca="false">TDStoIT!H22-F23+E23</f>
        <v>2234</v>
      </c>
    </row>
    <row r="24" customFormat="false" ht="12.8" hidden="false" customHeight="false" outlineLevel="0" collapsed="false">
      <c r="A24" s="57" t="n">
        <v>45382</v>
      </c>
      <c r="B24" s="2" t="s">
        <v>106</v>
      </c>
      <c r="C24" s="2" t="s">
        <v>34</v>
      </c>
      <c r="D24" s="55" t="n">
        <v>13</v>
      </c>
      <c r="F24" s="12" t="n">
        <f aca="false">H23</f>
        <v>2234</v>
      </c>
      <c r="H24" s="12" t="n">
        <f aca="false">TDStoIT!H23-F24+E24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9"/>
    <col collapsed="false" customWidth="true" hidden="false" outlineLevel="0" max="3" min="3" style="2" width="86.33"/>
    <col collapsed="false" customWidth="true" hidden="false" outlineLevel="0" max="4" min="4" style="55" width="9.36"/>
    <col collapsed="false" customWidth="true" hidden="false" outlineLevel="0" max="5" min="5" style="12" width="9.36"/>
    <col collapsed="false" customWidth="true" hidden="false" outlineLevel="0" max="6" min="6" style="12" width="10.13"/>
    <col collapsed="false" customWidth="true" hidden="false" outlineLevel="0" max="7" min="7" style="12" width="9.06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81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95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f aca="false">Apr!J20</f>
        <v>45397</v>
      </c>
      <c r="B6" s="2" t="str">
        <f aca="false">Apr!K20</f>
        <v>Veh. Exp.</v>
      </c>
      <c r="C6" s="2" t="str">
        <f aca="false">Apr!L20</f>
        <v>Petrol</v>
      </c>
      <c r="D6" s="55" t="n">
        <v>1</v>
      </c>
      <c r="E6" s="12" t="n">
        <f aca="false">SUM(Apr!N20:O20)</f>
        <v>500</v>
      </c>
      <c r="H6" s="12" t="n">
        <f aca="false">vehexp!H5-F6+E6</f>
        <v>500</v>
      </c>
    </row>
    <row r="7" customFormat="false" ht="12.8" hidden="false" customHeight="false" outlineLevel="0" collapsed="false">
      <c r="A7" s="57" t="n">
        <f aca="false">May!J19</f>
        <v>45426</v>
      </c>
      <c r="B7" s="2" t="str">
        <f aca="false">May!K19</f>
        <v>Veh. Exp.</v>
      </c>
      <c r="C7" s="2" t="str">
        <f aca="false">May!L19</f>
        <v>Petrol</v>
      </c>
      <c r="D7" s="55" t="n">
        <v>2</v>
      </c>
      <c r="E7" s="12" t="n">
        <f aca="false">SUM(May!N19:O19)</f>
        <v>500</v>
      </c>
      <c r="H7" s="12" t="n">
        <f aca="false">vehexp!H6-F7+E7</f>
        <v>1000</v>
      </c>
    </row>
    <row r="8" customFormat="false" ht="12.8" hidden="false" customHeight="false" outlineLevel="0" collapsed="false">
      <c r="A8" s="57" t="n">
        <f aca="false">May!J37</f>
        <v>45442</v>
      </c>
      <c r="B8" s="2" t="str">
        <f aca="false">May!K37</f>
        <v>Veh. Exp.</v>
      </c>
      <c r="C8" s="2" t="str">
        <f aca="false">May!L37</f>
        <v>Petrol</v>
      </c>
      <c r="D8" s="55" t="n">
        <v>2</v>
      </c>
      <c r="E8" s="12" t="n">
        <f aca="false">SUM(May!N37:O37)</f>
        <v>2000</v>
      </c>
      <c r="H8" s="12" t="n">
        <f aca="false">vehexp!H7-F8+E8</f>
        <v>3000</v>
      </c>
    </row>
    <row r="9" customFormat="false" ht="12.8" hidden="false" customHeight="false" outlineLevel="0" collapsed="false">
      <c r="A9" s="57" t="n">
        <f aca="false">Jun!J22</f>
        <v>45460</v>
      </c>
      <c r="B9" s="2" t="str">
        <f aca="false">Jun!K22</f>
        <v>Veh. Exp.</v>
      </c>
      <c r="C9" s="2" t="str">
        <f aca="false">Jun!L22</f>
        <v>Petrol</v>
      </c>
      <c r="D9" s="55" t="n">
        <v>3</v>
      </c>
      <c r="E9" s="12" t="n">
        <f aca="false">SUM(Jun!N22:O22)</f>
        <v>500</v>
      </c>
      <c r="H9" s="12" t="n">
        <f aca="false">vehexp!H8-F9+E9</f>
        <v>3500</v>
      </c>
    </row>
    <row r="10" customFormat="false" ht="12.8" hidden="false" customHeight="false" outlineLevel="0" collapsed="false">
      <c r="A10" s="57" t="n">
        <f aca="false">Jul!J16</f>
        <v>45484</v>
      </c>
      <c r="B10" s="2" t="str">
        <f aca="false">Jul!K16</f>
        <v>Veh. Exp.</v>
      </c>
      <c r="C10" s="2" t="str">
        <f aca="false">Jul!L16</f>
        <v>Petrol</v>
      </c>
      <c r="D10" s="55" t="n">
        <v>4</v>
      </c>
      <c r="E10" s="12" t="n">
        <f aca="false">SUM(Jul!N16:O16)</f>
        <v>500</v>
      </c>
      <c r="H10" s="12" t="n">
        <f aca="false">vehexp!H9-F10+E10</f>
        <v>4000</v>
      </c>
    </row>
    <row r="11" customFormat="false" ht="12.8" hidden="false" customHeight="false" outlineLevel="0" collapsed="false">
      <c r="A11" s="57" t="n">
        <f aca="false">Jul!J34</f>
        <v>45502</v>
      </c>
      <c r="B11" s="2" t="str">
        <f aca="false">Jul!K34</f>
        <v>Veh. Exp.</v>
      </c>
      <c r="C11" s="2" t="str">
        <f aca="false">Jul!L34</f>
        <v>Petrol</v>
      </c>
      <c r="D11" s="55" t="n">
        <v>4</v>
      </c>
      <c r="E11" s="12" t="n">
        <f aca="false">SUM(Jul!N34:O34)</f>
        <v>500</v>
      </c>
      <c r="H11" s="12" t="n">
        <f aca="false">vehexp!H10-F11+E11</f>
        <v>4500</v>
      </c>
    </row>
    <row r="12" customFormat="false" ht="12.8" hidden="false" customHeight="false" outlineLevel="0" collapsed="false">
      <c r="A12" s="57" t="n">
        <f aca="false">Aug!J32</f>
        <v>45531</v>
      </c>
      <c r="B12" s="2" t="str">
        <f aca="false">Aug!K32</f>
        <v>Veh. Exp.</v>
      </c>
      <c r="C12" s="2" t="str">
        <f aca="false">Aug!L32</f>
        <v>Petrol</v>
      </c>
      <c r="D12" s="55" t="n">
        <v>5</v>
      </c>
      <c r="E12" s="12" t="n">
        <f aca="false">SUM(Aug!N32:O32)</f>
        <v>500</v>
      </c>
      <c r="H12" s="12" t="n">
        <f aca="false">vehexp!H11-F12+E12</f>
        <v>5000</v>
      </c>
    </row>
    <row r="13" customFormat="false" ht="12.8" hidden="false" customHeight="false" outlineLevel="0" collapsed="false">
      <c r="A13" s="57" t="n">
        <f aca="false">Sep!J14</f>
        <v>45544</v>
      </c>
      <c r="B13" s="2" t="n">
        <f aca="false">Sep!K14</f>
        <v>0</v>
      </c>
      <c r="C13" s="2" t="n">
        <f aca="false">Sep!L14</f>
        <v>0</v>
      </c>
      <c r="D13" s="55" t="n">
        <v>6</v>
      </c>
      <c r="E13" s="12" t="n">
        <f aca="false">SUM(Sep!N14:O14)</f>
        <v>0</v>
      </c>
      <c r="H13" s="12" t="n">
        <f aca="false">vehexp!H12-F13+E13</f>
        <v>5000</v>
      </c>
    </row>
    <row r="14" customFormat="false" ht="12.8" hidden="false" customHeight="false" outlineLevel="0" collapsed="false">
      <c r="A14" s="57" t="n">
        <f aca="false">Sep!J33</f>
        <v>45563</v>
      </c>
      <c r="B14" s="2" t="str">
        <f aca="false">Sep!K33</f>
        <v>Veh. Exp.</v>
      </c>
      <c r="C14" s="2" t="str">
        <f aca="false">Sep!L33</f>
        <v>Petrol</v>
      </c>
      <c r="D14" s="55" t="n">
        <v>6</v>
      </c>
      <c r="E14" s="12" t="n">
        <f aca="false">SUM(Sep!N33:O33)</f>
        <v>500</v>
      </c>
      <c r="H14" s="12" t="n">
        <f aca="false">vehexp!H13-F14+E14</f>
        <v>5500</v>
      </c>
    </row>
    <row r="15" customFormat="false" ht="12.8" hidden="false" customHeight="false" outlineLevel="0" collapsed="false">
      <c r="A15" s="57" t="n">
        <f aca="false">Oct!J13</f>
        <v>45568</v>
      </c>
      <c r="B15" s="2" t="str">
        <f aca="false">Oct!K20</f>
        <v>Veh. Exp.</v>
      </c>
      <c r="C15" s="2" t="str">
        <f aca="false">Oct!L20</f>
        <v>Petrol</v>
      </c>
      <c r="D15" s="55" t="n">
        <v>7</v>
      </c>
      <c r="E15" s="12" t="n">
        <f aca="false">SUM(Oct!N13:O13)</f>
        <v>414</v>
      </c>
      <c r="H15" s="12" t="n">
        <f aca="false">vehexp!H14-F15+E15</f>
        <v>5914</v>
      </c>
    </row>
    <row r="16" customFormat="false" ht="12.8" hidden="false" customHeight="false" outlineLevel="0" collapsed="false">
      <c r="A16" s="57" t="n">
        <f aca="false">Oct!J30</f>
        <v>45590</v>
      </c>
      <c r="B16" s="2" t="str">
        <f aca="false">Oct!K30</f>
        <v>Veh. Exp.</v>
      </c>
      <c r="C16" s="2" t="str">
        <f aca="false">Oct!L30</f>
        <v>Petrol</v>
      </c>
      <c r="D16" s="55" t="n">
        <v>7</v>
      </c>
      <c r="E16" s="12" t="n">
        <f aca="false">SUM(Oct!N30:O30)</f>
        <v>500</v>
      </c>
      <c r="H16" s="12" t="n">
        <f aca="false">vehexp!H15-F16+E16</f>
        <v>6414</v>
      </c>
    </row>
    <row r="17" customFormat="false" ht="12.8" hidden="false" customHeight="false" outlineLevel="0" collapsed="false">
      <c r="A17" s="57" t="n">
        <f aca="false">Nov!J10</f>
        <v>45601</v>
      </c>
      <c r="B17" s="2" t="str">
        <f aca="false">Nov!K10</f>
        <v>Veh. Exp.</v>
      </c>
      <c r="C17" s="2" t="str">
        <f aca="false">Nov!L10</f>
        <v>Petrol</v>
      </c>
      <c r="D17" s="55" t="n">
        <v>8</v>
      </c>
      <c r="E17" s="12" t="n">
        <f aca="false">SUM(Nov!N10:O10)</f>
        <v>500</v>
      </c>
      <c r="H17" s="12" t="n">
        <f aca="false">vehexp!H16-F17+E17</f>
        <v>6914</v>
      </c>
    </row>
    <row r="18" customFormat="false" ht="12.8" hidden="false" customHeight="false" outlineLevel="0" collapsed="false">
      <c r="A18" s="57" t="n">
        <f aca="false">Nov!J33</f>
        <v>45622</v>
      </c>
      <c r="B18" s="2" t="str">
        <f aca="false">Nov!K33</f>
        <v>TDStoIT</v>
      </c>
      <c r="C18" s="2" t="n">
        <f aca="false">Nov!L33</f>
        <v>0</v>
      </c>
      <c r="D18" s="55" t="n">
        <v>8</v>
      </c>
      <c r="E18" s="12" t="n">
        <f aca="false">SUM(Nov!N33:O33)</f>
        <v>414</v>
      </c>
      <c r="H18" s="12" t="n">
        <f aca="false">vehexp!H17-F18+E18</f>
        <v>7328</v>
      </c>
    </row>
    <row r="19" customFormat="false" ht="12.8" hidden="false" customHeight="false" outlineLevel="0" collapsed="false">
      <c r="A19" s="57" t="n">
        <f aca="false">Dec!J33</f>
        <v>45654</v>
      </c>
      <c r="B19" s="2" t="str">
        <f aca="false">Dec!K33</f>
        <v>Veh. Exp.</v>
      </c>
      <c r="C19" s="2" t="str">
        <f aca="false">Dec!L33</f>
        <v>Petrol</v>
      </c>
      <c r="D19" s="55" t="n">
        <v>9</v>
      </c>
      <c r="E19" s="12" t="n">
        <f aca="false">SUM(Dec!N33:O33)</f>
        <v>500</v>
      </c>
      <c r="H19" s="12" t="n">
        <f aca="false">vehexp!H18-F19+E19</f>
        <v>7828</v>
      </c>
    </row>
    <row r="20" customFormat="false" ht="12.8" hidden="false" customHeight="false" outlineLevel="0" collapsed="false">
      <c r="A20" s="57" t="n">
        <f aca="false">Jan!J9</f>
        <v>45660</v>
      </c>
      <c r="B20" s="2" t="str">
        <f aca="false">Jan!K9</f>
        <v>TDStoIT</v>
      </c>
      <c r="C20" s="2" t="n">
        <f aca="false">Jan!L9</f>
        <v>0</v>
      </c>
      <c r="D20" s="55" t="n">
        <v>10</v>
      </c>
      <c r="E20" s="12" t="n">
        <f aca="false">SUM(Jan!N9:O9)</f>
        <v>468</v>
      </c>
      <c r="H20" s="12" t="n">
        <f aca="false">vehexp!H19-F20+E20</f>
        <v>8296</v>
      </c>
    </row>
    <row r="21" customFormat="false" ht="12.8" hidden="false" customHeight="false" outlineLevel="0" collapsed="false">
      <c r="A21" s="57" t="n">
        <f aca="false">Jan!J27</f>
        <v>45679</v>
      </c>
      <c r="B21" s="2" t="str">
        <f aca="false">Jan!K27</f>
        <v>Veh. Exp.</v>
      </c>
      <c r="C21" s="2" t="str">
        <f aca="false">Jan!L27</f>
        <v>Petrol</v>
      </c>
      <c r="D21" s="55" t="n">
        <v>10</v>
      </c>
      <c r="E21" s="12" t="n">
        <f aca="false">SUM(Jan!N27:O27)</f>
        <v>500</v>
      </c>
      <c r="H21" s="12" t="n">
        <f aca="false">vehexp!H20-F21+E21</f>
        <v>8796</v>
      </c>
    </row>
    <row r="22" customFormat="false" ht="12.8" hidden="false" customHeight="false" outlineLevel="0" collapsed="false">
      <c r="A22" s="57" t="n">
        <f aca="false">Feb!J10</f>
        <v>45693</v>
      </c>
      <c r="B22" s="2" t="str">
        <f aca="false">Feb!K10</f>
        <v>ICICI</v>
      </c>
      <c r="C22" s="2" t="str">
        <f aca="false">Feb!L10</f>
        <v>UPI/avneshjain.agra/UPI/UNION BANK OF I/540232791818/ICI0f58808fdff34a76848506c81c218908</v>
      </c>
      <c r="D22" s="55" t="n">
        <v>11</v>
      </c>
      <c r="E22" s="12" t="n">
        <f aca="false">SUM(Feb!N10:O10)</f>
        <v>300</v>
      </c>
      <c r="H22" s="12" t="n">
        <f aca="false">vehexp!H21-F22+E22</f>
        <v>9096</v>
      </c>
    </row>
    <row r="23" customFormat="false" ht="12.8" hidden="false" customHeight="false" outlineLevel="0" collapsed="false">
      <c r="A23" s="57" t="n">
        <f aca="false">Mar!J14</f>
        <v>45725</v>
      </c>
      <c r="B23" s="2" t="str">
        <f aca="false">Mar!K14</f>
        <v>Veh. Exp.</v>
      </c>
      <c r="C23" s="2" t="str">
        <f aca="false">Mar!L14</f>
        <v>Petrol</v>
      </c>
      <c r="D23" s="55" t="n">
        <v>12</v>
      </c>
      <c r="E23" s="12" t="n">
        <f aca="false">SUM(Mar!N14:O14)</f>
        <v>500</v>
      </c>
      <c r="H23" s="12" t="n">
        <f aca="false">vehexp!H22-F23+E23</f>
        <v>9596</v>
      </c>
    </row>
    <row r="24" customFormat="false" ht="12.8" hidden="false" customHeight="false" outlineLevel="0" collapsed="false">
      <c r="A24" s="57" t="n">
        <f aca="false">Mar!J34</f>
        <v>45745</v>
      </c>
      <c r="B24" s="2" t="str">
        <f aca="false">Mar!K34</f>
        <v>Veh. Exp.</v>
      </c>
      <c r="C24" s="2" t="str">
        <f aca="false">Mar!L34</f>
        <v>Petrol</v>
      </c>
      <c r="D24" s="55" t="n">
        <v>12</v>
      </c>
      <c r="E24" s="12" t="n">
        <f aca="false">SUM(Mar!N34:O34)</f>
        <v>500</v>
      </c>
      <c r="H24" s="12" t="n">
        <f aca="false">vehexp!H23-F24+E24</f>
        <v>10096</v>
      </c>
    </row>
    <row r="25" customFormat="false" ht="12.8" hidden="false" customHeight="false" outlineLevel="0" collapsed="false">
      <c r="A25" s="57" t="n">
        <v>45382</v>
      </c>
      <c r="B25" s="2" t="s">
        <v>104</v>
      </c>
      <c r="C25" s="2" t="s">
        <v>34</v>
      </c>
      <c r="D25" s="55" t="n">
        <v>12</v>
      </c>
      <c r="F25" s="12" t="n">
        <f aca="false">vehexp!H24</f>
        <v>10096</v>
      </c>
      <c r="H25" s="12" t="n">
        <f aca="false">vehexp!H24-F25+E25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34" activeCellId="0" sqref="K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37"/>
    <col collapsed="false" customWidth="true" hidden="false" outlineLevel="0" max="3" min="3" style="2" width="20.79"/>
    <col collapsed="false" customWidth="true" hidden="false" outlineLevel="0" max="4" min="4" style="2" width="9.06"/>
    <col collapsed="false" customWidth="true" hidden="false" outlineLevel="0" max="5" min="5" style="2" width="9.36"/>
    <col collapsed="false" customWidth="true" hidden="false" outlineLevel="0" max="6" min="6" style="2" width="7.5"/>
    <col collapsed="false" customWidth="true" hidden="false" outlineLevel="0" max="7" min="7" style="2" width="9.06"/>
    <col collapsed="false" customWidth="true" hidden="false" outlineLevel="0" max="8" min="8" style="2" width="10.9"/>
    <col collapsed="false" customWidth="false" hidden="false" outlineLevel="0" max="16384" min="9" style="2" width="11.53"/>
  </cols>
  <sheetData>
    <row r="2" customFormat="false" ht="12.8" hidden="false" customHeight="false" outlineLevel="0" collapsed="false">
      <c r="A2" s="7" t="s">
        <v>0</v>
      </c>
      <c r="B2" s="5"/>
      <c r="C2" s="5" t="s">
        <v>107</v>
      </c>
      <c r="D2" s="5"/>
      <c r="E2" s="56" t="s">
        <v>85</v>
      </c>
      <c r="F2" s="56"/>
      <c r="G2" s="56" t="s">
        <v>86</v>
      </c>
      <c r="H2" s="56" t="s">
        <v>87</v>
      </c>
    </row>
    <row r="3" customFormat="false" ht="12.8" hidden="false" customHeight="false" outlineLevel="0" collapsed="false">
      <c r="A3" s="5"/>
      <c r="B3" s="5"/>
      <c r="C3" s="5"/>
      <c r="D3" s="5"/>
      <c r="E3" s="56"/>
      <c r="F3" s="56"/>
      <c r="G3" s="56"/>
      <c r="H3" s="56"/>
    </row>
    <row r="4" customFormat="fals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5" customFormat="false" ht="12.8" hidden="false" customHeight="false" outlineLevel="0" collapsed="false">
      <c r="D5" s="55"/>
      <c r="E5" s="12"/>
      <c r="F5" s="12"/>
      <c r="G5" s="12"/>
      <c r="H5" s="12"/>
    </row>
    <row r="6" customFormat="false" ht="12.8" hidden="false" customHeight="false" outlineLevel="0" collapsed="false">
      <c r="A6" s="57" t="n">
        <v>45016</v>
      </c>
      <c r="B6" s="2" t="s">
        <v>100</v>
      </c>
      <c r="C6" s="2" t="s">
        <v>108</v>
      </c>
      <c r="D6" s="55" t="n">
        <v>5</v>
      </c>
      <c r="E6" s="12" t="n">
        <f aca="false">Inst!F8</f>
        <v>0</v>
      </c>
      <c r="F6" s="12"/>
      <c r="G6" s="12"/>
      <c r="H6" s="12" t="n">
        <f aca="false">H5+E6-F6</f>
        <v>0</v>
      </c>
    </row>
    <row r="7" customFormat="false" ht="12.8" hidden="false" customHeight="false" outlineLevel="0" collapsed="false">
      <c r="A7" s="57" t="n">
        <v>45016</v>
      </c>
      <c r="B7" s="2" t="s">
        <v>100</v>
      </c>
      <c r="C7" s="2" t="s">
        <v>109</v>
      </c>
      <c r="D7" s="55" t="n">
        <v>5</v>
      </c>
      <c r="E7" s="12" t="n">
        <f aca="false">Inst!F9</f>
        <v>203.9145</v>
      </c>
      <c r="F7" s="12"/>
      <c r="G7" s="12"/>
      <c r="H7" s="12" t="n">
        <f aca="false">H6+E7-F7</f>
        <v>203.9145</v>
      </c>
    </row>
    <row r="8" customFormat="false" ht="12.8" hidden="false" customHeight="false" outlineLevel="0" collapsed="false">
      <c r="A8" s="57" t="n">
        <v>45016</v>
      </c>
      <c r="B8" s="2" t="s">
        <v>104</v>
      </c>
      <c r="C8" s="2" t="s">
        <v>34</v>
      </c>
      <c r="D8" s="55" t="n">
        <v>14</v>
      </c>
      <c r="E8" s="12"/>
      <c r="F8" s="12" t="n">
        <f aca="false">H7</f>
        <v>203.9145</v>
      </c>
      <c r="G8" s="12"/>
      <c r="H8" s="12" t="n">
        <f aca="false">H7+E8-F8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1" activeCellId="0" sqref="H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0.75"/>
    <col collapsed="false" customWidth="true" hidden="false" outlineLevel="0" max="3" min="3" style="2" width="29.45"/>
    <col collapsed="false" customWidth="true" hidden="false" outlineLevel="0" max="4" min="4" style="55" width="14.92"/>
    <col collapsed="false" customWidth="true" hidden="false" outlineLevel="0" max="5" min="5" style="12" width="10.75"/>
    <col collapsed="false" customWidth="true" hidden="false" outlineLevel="0" max="6" min="6" style="12" width="10.13"/>
    <col collapsed="false" customWidth="true" hidden="false" outlineLevel="0" max="7" min="7" style="12" width="12.15"/>
    <col collapsed="false" customWidth="true" hidden="false" outlineLevel="0" max="8" min="8" style="12" width="10.9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82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101</v>
      </c>
      <c r="C6" s="2" t="s">
        <v>107</v>
      </c>
      <c r="D6" s="55" t="n">
        <v>13</v>
      </c>
      <c r="E6" s="12" t="n">
        <f aca="false">Dep!F8</f>
        <v>203.9145</v>
      </c>
      <c r="H6" s="12" t="n">
        <f aca="false">H5+F6-E6</f>
        <v>-203.9145</v>
      </c>
    </row>
    <row r="7" customFormat="false" ht="12.8" hidden="false" customHeight="false" outlineLevel="0" collapsed="false">
      <c r="A7" s="57" t="n">
        <v>45382</v>
      </c>
      <c r="B7" s="2" t="s">
        <v>22</v>
      </c>
      <c r="C7" s="2" t="s">
        <v>22</v>
      </c>
      <c r="D7" s="55" t="n">
        <v>9</v>
      </c>
      <c r="E7" s="12" t="n">
        <f aca="false">Salary!F30</f>
        <v>74950</v>
      </c>
      <c r="H7" s="12" t="n">
        <f aca="false">H6+F7-E7</f>
        <v>-75153.9145</v>
      </c>
    </row>
    <row r="8" customFormat="false" ht="12.8" hidden="false" customHeight="false" outlineLevel="0" collapsed="false">
      <c r="A8" s="57" t="n">
        <v>45382</v>
      </c>
      <c r="B8" s="2" t="s">
        <v>24</v>
      </c>
      <c r="C8" s="2" t="s">
        <v>79</v>
      </c>
      <c r="D8" s="55" t="n">
        <v>6</v>
      </c>
      <c r="E8" s="12" t="n">
        <f aca="false">misc!F7</f>
        <v>280</v>
      </c>
      <c r="H8" s="12" t="n">
        <f aca="false">H7+F8-E8</f>
        <v>-75433.9145</v>
      </c>
    </row>
    <row r="9" customFormat="false" ht="12.8" hidden="false" customHeight="false" outlineLevel="0" collapsed="false">
      <c r="A9" s="57" t="n">
        <v>45382</v>
      </c>
      <c r="B9" s="2" t="s">
        <v>30</v>
      </c>
      <c r="C9" s="2" t="s">
        <v>81</v>
      </c>
      <c r="D9" s="55" t="n">
        <v>11</v>
      </c>
      <c r="E9" s="12" t="n">
        <f aca="false">vehexp!F25</f>
        <v>10096</v>
      </c>
      <c r="H9" s="12" t="n">
        <f aca="false">H8+F9-E9</f>
        <v>-85529.9145</v>
      </c>
    </row>
    <row r="10" customFormat="false" ht="12.8" hidden="false" customHeight="false" outlineLevel="0" collapsed="false">
      <c r="A10" s="57" t="n">
        <v>45382</v>
      </c>
      <c r="B10" s="2" t="s">
        <v>28</v>
      </c>
      <c r="C10" s="2" t="s">
        <v>28</v>
      </c>
      <c r="D10" s="55" t="n">
        <v>8</v>
      </c>
      <c r="F10" s="12" t="n">
        <f aca="false">Pt!E23</f>
        <v>23624</v>
      </c>
      <c r="H10" s="12" t="n">
        <f aca="false">H9+F10-E10</f>
        <v>-61905.9145</v>
      </c>
    </row>
    <row r="11" customFormat="false" ht="12.8" hidden="false" customHeight="false" outlineLevel="0" collapsed="false">
      <c r="A11" s="57" t="n">
        <v>45382</v>
      </c>
      <c r="B11" s="2" t="s">
        <v>110</v>
      </c>
      <c r="C11" s="2" t="s">
        <v>78</v>
      </c>
      <c r="D11" s="55" t="n">
        <v>5</v>
      </c>
      <c r="F11" s="12" t="n">
        <f aca="false">MedCon!E10</f>
        <v>0</v>
      </c>
      <c r="H11" s="12" t="n">
        <f aca="false">H10+F11-E11</f>
        <v>-61905.9145</v>
      </c>
    </row>
    <row r="12" customFormat="false" ht="12.8" hidden="false" customHeight="false" outlineLevel="0" collapsed="false">
      <c r="A12" s="57" t="n">
        <v>45382</v>
      </c>
      <c r="B12" s="2" t="s">
        <v>106</v>
      </c>
      <c r="C12" s="2" t="s">
        <v>34</v>
      </c>
      <c r="D12" s="55" t="n">
        <v>15</v>
      </c>
      <c r="E12" s="12" t="n">
        <f aca="false">InExp!H11</f>
        <v>-61905.9145</v>
      </c>
      <c r="H12" s="12" t="n">
        <f aca="false">InExp!H11+F12-E12</f>
        <v>0</v>
      </c>
    </row>
    <row r="14" customFormat="false" ht="12.8" hidden="false" customHeight="false" outlineLevel="0" collapsed="false">
      <c r="D14" s="58" t="s">
        <v>111</v>
      </c>
      <c r="E14" s="12" t="n">
        <f aca="false">SUM(E6:E11)</f>
        <v>85529.9145</v>
      </c>
      <c r="F14" s="12" t="n">
        <f aca="false">SUM(F6:F11)</f>
        <v>23624</v>
      </c>
      <c r="G14" s="59" t="s">
        <v>112</v>
      </c>
    </row>
    <row r="16" customFormat="false" ht="12.8" hidden="false" customHeight="false" outlineLevel="0" collapsed="false">
      <c r="D16" s="5" t="s">
        <v>113</v>
      </c>
      <c r="E16" s="59" t="n">
        <f aca="false">E12/F14</f>
        <v>-2.62046708855401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11.22"/>
    <col collapsed="false" customWidth="true" hidden="false" outlineLevel="0" max="3" min="3" style="2" width="21.88"/>
    <col collapsed="false" customWidth="true" hidden="false" outlineLevel="0" max="4" min="4" style="55" width="9.06"/>
    <col collapsed="false" customWidth="true" hidden="false" outlineLevel="0" max="6" min="5" style="12" width="11.68"/>
    <col collapsed="false" customWidth="true" hidden="false" outlineLevel="0" max="7" min="7" style="12" width="9.06"/>
    <col collapsed="false" customWidth="true" hidden="false" outlineLevel="0" max="8" min="8" style="12" width="11.68"/>
    <col collapsed="false" customWidth="false" hidden="false" outlineLevel="0" max="16384" min="9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83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45017</v>
      </c>
      <c r="B6" s="2" t="s">
        <v>96</v>
      </c>
      <c r="C6" s="2" t="s">
        <v>20</v>
      </c>
      <c r="F6" s="12" t="n">
        <v>194170.34574125</v>
      </c>
      <c r="H6" s="12" t="n">
        <f aca="false">CapAc!H5+F6-E6</f>
        <v>194170.34574125</v>
      </c>
    </row>
    <row r="7" customFormat="false" ht="12.8" hidden="false" customHeight="false" outlineLevel="0" collapsed="false">
      <c r="A7" s="57" t="n">
        <v>45382</v>
      </c>
      <c r="B7" s="2" t="s">
        <v>104</v>
      </c>
      <c r="C7" s="2" t="s">
        <v>114</v>
      </c>
      <c r="D7" s="55" t="n">
        <v>12</v>
      </c>
      <c r="F7" s="12" t="n">
        <f aca="false">InExp!E12</f>
        <v>-61905.9145</v>
      </c>
      <c r="H7" s="12" t="n">
        <f aca="false">CapAc!H6+F7-E7</f>
        <v>132264.43124125</v>
      </c>
    </row>
    <row r="8" customFormat="false" ht="12.8" hidden="false" customHeight="false" outlineLevel="0" collapsed="false">
      <c r="A8" s="57" t="n">
        <v>45382</v>
      </c>
      <c r="B8" s="2" t="s">
        <v>38</v>
      </c>
      <c r="C8" s="2" t="s">
        <v>38</v>
      </c>
      <c r="D8" s="55" t="n">
        <v>10</v>
      </c>
      <c r="E8" s="12" t="n">
        <f aca="false">TDStoIT!F24</f>
        <v>2234</v>
      </c>
      <c r="H8" s="12" t="n">
        <f aca="false">CapAc!H7+F8-E8</f>
        <v>130030.43124125</v>
      </c>
    </row>
    <row r="9" customFormat="false" ht="12.8" hidden="false" customHeight="false" outlineLevel="0" collapsed="false">
      <c r="A9" s="57" t="n">
        <v>45382</v>
      </c>
      <c r="B9" s="2" t="s">
        <v>105</v>
      </c>
      <c r="C9" s="2" t="s">
        <v>34</v>
      </c>
      <c r="D9" s="55" t="n">
        <v>14</v>
      </c>
      <c r="E9" s="12" t="n">
        <f aca="false">CapAc!H8</f>
        <v>130030.43124125</v>
      </c>
      <c r="H9" s="12" t="n">
        <f aca="false">CapAc!H8+F9-E9</f>
        <v>0</v>
      </c>
    </row>
    <row r="12" customFormat="false" ht="12.8" hidden="false" customHeight="false" outlineLevel="0" collapsed="false">
      <c r="A12" s="58"/>
      <c r="B12" s="58"/>
      <c r="C12" s="58"/>
      <c r="D12" s="5"/>
      <c r="E12" s="59"/>
      <c r="F12" s="59"/>
      <c r="G12" s="59"/>
      <c r="H12" s="59"/>
      <c r="I12" s="58"/>
    </row>
    <row r="13" customFormat="false" ht="12.8" hidden="false" customHeight="false" outlineLevel="0" collapsed="false">
      <c r="A13" s="58"/>
      <c r="B13" s="58"/>
      <c r="C13" s="58"/>
      <c r="D13" s="5"/>
      <c r="E13" s="59"/>
      <c r="F13" s="59"/>
      <c r="G13" s="59"/>
      <c r="H13" s="59"/>
      <c r="I13" s="58"/>
    </row>
    <row r="14" customFormat="false" ht="12.8" hidden="false" customHeight="false" outlineLevel="0" collapsed="false">
      <c r="A14" s="58"/>
      <c r="B14" s="58"/>
      <c r="C14" s="58"/>
      <c r="D14" s="5"/>
      <c r="E14" s="59"/>
      <c r="F14" s="59"/>
      <c r="G14" s="59"/>
      <c r="H14" s="59"/>
      <c r="I14" s="58"/>
    </row>
    <row r="15" customFormat="false" ht="12.8" hidden="false" customHeight="false" outlineLevel="0" collapsed="false">
      <c r="A15" s="60"/>
      <c r="B15" s="61"/>
      <c r="C15" s="60"/>
      <c r="D15" s="62"/>
      <c r="E15" s="23"/>
      <c r="F15" s="63"/>
      <c r="G15" s="64"/>
      <c r="H15" s="64"/>
      <c r="I15" s="60"/>
    </row>
    <row r="16" customFormat="false" ht="12.8" hidden="false" customHeight="false" outlineLevel="0" collapsed="false">
      <c r="A16" s="22"/>
      <c r="B16" s="58"/>
      <c r="C16" s="22"/>
      <c r="E16" s="23"/>
      <c r="F16" s="59"/>
      <c r="G16" s="23"/>
      <c r="H16" s="23"/>
      <c r="I16" s="22"/>
    </row>
    <row r="17" customFormat="false" ht="12.8" hidden="false" customHeight="false" outlineLevel="0" collapsed="false">
      <c r="A17" s="57"/>
      <c r="B17" s="22"/>
      <c r="C17" s="22"/>
      <c r="D17" s="65"/>
      <c r="E17" s="23"/>
      <c r="F17" s="23"/>
      <c r="G17" s="23"/>
      <c r="H17" s="23"/>
      <c r="I17" s="22"/>
    </row>
    <row r="18" customFormat="false" ht="12.8" hidden="false" customHeight="false" outlineLevel="0" collapsed="false">
      <c r="A18" s="57"/>
      <c r="B18" s="22"/>
      <c r="C18" s="22"/>
      <c r="E18" s="23"/>
      <c r="F18" s="23"/>
      <c r="G18" s="23"/>
      <c r="H18" s="23"/>
      <c r="I18" s="22"/>
    </row>
    <row r="19" customFormat="false" ht="12.8" hidden="false" customHeight="false" outlineLevel="0" collapsed="false">
      <c r="A19" s="57"/>
      <c r="B19" s="22"/>
      <c r="C19" s="22"/>
      <c r="E19" s="23"/>
      <c r="F19" s="23"/>
      <c r="G19" s="23"/>
      <c r="H19" s="23"/>
      <c r="I19" s="22"/>
    </row>
    <row r="20" customFormat="false" ht="12.8" hidden="false" customHeight="false" outlineLevel="0" collapsed="false">
      <c r="A20" s="57"/>
      <c r="B20" s="22"/>
      <c r="C20" s="22"/>
      <c r="E20" s="23"/>
      <c r="F20" s="23"/>
      <c r="G20" s="23"/>
      <c r="H20" s="23"/>
      <c r="I20" s="22"/>
    </row>
    <row r="21" customFormat="false" ht="12.8" hidden="false" customHeight="false" outlineLevel="0" collapsed="false">
      <c r="A21" s="57"/>
      <c r="B21" s="22"/>
      <c r="C21" s="22"/>
      <c r="E21" s="23"/>
      <c r="F21" s="23"/>
      <c r="G21" s="23"/>
      <c r="H21" s="23"/>
      <c r="I21" s="23"/>
    </row>
    <row r="22" customFormat="false" ht="12.8" hidden="false" customHeight="false" outlineLevel="0" collapsed="false">
      <c r="A22" s="57"/>
      <c r="B22" s="22"/>
      <c r="C22" s="22"/>
      <c r="E22" s="23"/>
      <c r="F22" s="23"/>
      <c r="G22" s="23"/>
      <c r="H22" s="23"/>
      <c r="I22" s="22"/>
    </row>
    <row r="23" customFormat="false" ht="12.8" hidden="false" customHeight="false" outlineLevel="0" collapsed="false">
      <c r="A23" s="57"/>
      <c r="B23" s="22"/>
      <c r="C23" s="22"/>
      <c r="E23" s="23"/>
      <c r="F23" s="23"/>
      <c r="G23" s="23"/>
      <c r="H23" s="23"/>
      <c r="I23" s="23"/>
    </row>
    <row r="24" customFormat="false" ht="12.8" hidden="false" customHeight="false" outlineLevel="0" collapsed="false">
      <c r="A24" s="57"/>
      <c r="B24" s="22"/>
      <c r="C24" s="22"/>
      <c r="E24" s="23"/>
      <c r="F24" s="23"/>
      <c r="G24" s="23"/>
      <c r="H24" s="23"/>
      <c r="I24" s="22"/>
    </row>
    <row r="25" customFormat="false" ht="12.8" hidden="false" customHeight="false" outlineLevel="0" collapsed="false">
      <c r="A25" s="57"/>
      <c r="B25" s="22"/>
      <c r="C25" s="22"/>
      <c r="E25" s="23"/>
      <c r="F25" s="23"/>
      <c r="G25" s="23"/>
      <c r="H25" s="23"/>
      <c r="I25" s="22"/>
    </row>
    <row r="26" customFormat="false" ht="12.8" hidden="false" customHeight="false" outlineLevel="0" collapsed="false">
      <c r="A26" s="57"/>
      <c r="B26" s="22"/>
      <c r="C26" s="22"/>
      <c r="E26" s="23"/>
      <c r="F26" s="23"/>
      <c r="G26" s="23"/>
      <c r="H26" s="23"/>
      <c r="I26" s="22"/>
    </row>
    <row r="27" customFormat="false" ht="12.8" hidden="false" customHeight="false" outlineLevel="0" collapsed="false">
      <c r="A27" s="57"/>
      <c r="B27" s="22"/>
      <c r="C27" s="22"/>
      <c r="E27" s="23"/>
      <c r="F27" s="23"/>
      <c r="G27" s="23"/>
      <c r="H27" s="23"/>
      <c r="I27" s="22"/>
    </row>
    <row r="28" customFormat="false" ht="12.8" hidden="false" customHeight="false" outlineLevel="0" collapsed="false">
      <c r="A28" s="57"/>
      <c r="B28" s="22"/>
      <c r="C28" s="22"/>
      <c r="E28" s="23"/>
      <c r="F28" s="23"/>
      <c r="G28" s="23"/>
      <c r="H28" s="23"/>
      <c r="I28" s="23"/>
    </row>
    <row r="29" customFormat="false" ht="12.8" hidden="false" customHeight="false" outlineLevel="0" collapsed="false">
      <c r="A29" s="57"/>
      <c r="B29" s="22"/>
      <c r="C29" s="22"/>
      <c r="E29" s="23"/>
      <c r="F29" s="23"/>
      <c r="G29" s="23"/>
      <c r="H29" s="23"/>
      <c r="I29" s="22"/>
    </row>
    <row r="30" customFormat="false" ht="12.8" hidden="false" customHeight="false" outlineLevel="0" collapsed="false">
      <c r="A30" s="57"/>
      <c r="B30" s="22"/>
      <c r="C30" s="22"/>
      <c r="E30" s="23"/>
      <c r="F30" s="23"/>
      <c r="G30" s="23"/>
      <c r="H30" s="23"/>
      <c r="I30" s="22"/>
    </row>
    <row r="31" customFormat="false" ht="12.8" hidden="false" customHeight="false" outlineLevel="0" collapsed="false">
      <c r="A31" s="22"/>
      <c r="B31" s="22"/>
      <c r="C31" s="22"/>
      <c r="E31" s="23"/>
      <c r="F31" s="23"/>
      <c r="G31" s="23"/>
      <c r="H31" s="23"/>
      <c r="I31" s="22"/>
    </row>
    <row r="32" customFormat="false" ht="12.8" hidden="false" customHeight="false" outlineLevel="0" collapsed="false">
      <c r="A32" s="61"/>
      <c r="B32" s="61"/>
      <c r="C32" s="61"/>
      <c r="D32" s="66"/>
      <c r="E32" s="59"/>
      <c r="F32" s="63"/>
      <c r="G32" s="63"/>
      <c r="H32" s="63"/>
      <c r="I32" s="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15" activeCellId="0" sqref="K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7.86"/>
    <col collapsed="false" customWidth="true" hidden="false" outlineLevel="0" max="2" min="2" style="2" width="31.61"/>
    <col collapsed="false" customWidth="true" hidden="false" outlineLevel="0" max="3" min="3" style="2" width="19.56"/>
    <col collapsed="false" customWidth="true" hidden="false" outlineLevel="0" max="4" min="4" style="55" width="11.68"/>
    <col collapsed="false" customWidth="true" hidden="false" outlineLevel="0" max="5" min="5" style="12" width="22.03"/>
    <col collapsed="false" customWidth="true" hidden="false" outlineLevel="0" max="6" min="6" style="12" width="11.68"/>
    <col collapsed="false" customWidth="true" hidden="false" outlineLevel="0" max="7" min="7" style="12" width="16.93"/>
    <col collapsed="false" customWidth="true" hidden="false" outlineLevel="0" max="8" min="8" style="12" width="16.31"/>
    <col collapsed="false" customWidth="true" hidden="false" outlineLevel="0" max="9" min="9" style="2" width="11.68"/>
    <col collapsed="false" customWidth="false" hidden="false" outlineLevel="0" max="16384" min="10" style="2" width="11.53"/>
  </cols>
  <sheetData>
    <row r="1" s="5" customFormat="true" ht="12.8" hidden="false" customHeight="false" outlineLevel="0" collapsed="false">
      <c r="E1" s="56"/>
      <c r="F1" s="56"/>
      <c r="G1" s="56"/>
      <c r="H1" s="56"/>
    </row>
    <row r="2" s="5" customFormat="true" ht="12.8" hidden="false" customHeight="false" outlineLevel="0" collapsed="false">
      <c r="A2" s="7" t="s">
        <v>0</v>
      </c>
      <c r="C2" s="5" t="s">
        <v>84</v>
      </c>
      <c r="E2" s="56" t="s">
        <v>85</v>
      </c>
      <c r="F2" s="56"/>
      <c r="G2" s="56" t="s">
        <v>86</v>
      </c>
      <c r="H2" s="56" t="s">
        <v>87</v>
      </c>
    </row>
    <row r="3" s="5" customFormat="true" ht="12.8" hidden="false" customHeight="false" outlineLevel="0" collapsed="false">
      <c r="E3" s="56"/>
      <c r="F3" s="56"/>
      <c r="G3" s="56"/>
      <c r="H3" s="56"/>
    </row>
    <row r="4" s="5" customFormat="true" ht="12.8" hidden="false" customHeight="false" outlineLevel="0" collapsed="false">
      <c r="A4" s="5" t="s">
        <v>9</v>
      </c>
      <c r="B4" s="5" t="s">
        <v>88</v>
      </c>
      <c r="C4" s="5" t="s">
        <v>89</v>
      </c>
      <c r="D4" s="5" t="s">
        <v>90</v>
      </c>
      <c r="E4" s="56" t="s">
        <v>91</v>
      </c>
      <c r="F4" s="56" t="s">
        <v>92</v>
      </c>
      <c r="G4" s="56" t="s">
        <v>93</v>
      </c>
      <c r="H4" s="56" t="s">
        <v>19</v>
      </c>
    </row>
    <row r="6" customFormat="false" ht="12.8" hidden="false" customHeight="false" outlineLevel="0" collapsed="false">
      <c r="A6" s="57" t="n">
        <v>45382</v>
      </c>
      <c r="B6" s="2" t="s">
        <v>99</v>
      </c>
      <c r="C6" s="2" t="s">
        <v>80</v>
      </c>
      <c r="D6" s="55" t="n">
        <v>7</v>
      </c>
      <c r="H6" s="12" t="n">
        <f aca="false">Bal!H5-F6+E6</f>
        <v>0</v>
      </c>
    </row>
    <row r="7" customFormat="false" ht="12.8" hidden="false" customHeight="false" outlineLevel="0" collapsed="false">
      <c r="A7" s="57"/>
      <c r="C7" s="2" t="s">
        <v>115</v>
      </c>
      <c r="E7" s="12" t="n">
        <f aca="false">BkAc!F7</f>
        <v>71950.91</v>
      </c>
      <c r="H7" s="12" t="n">
        <f aca="false">Bal!H6-F7+E7</f>
        <v>71950.91</v>
      </c>
    </row>
    <row r="8" customFormat="false" ht="12.8" hidden="false" customHeight="false" outlineLevel="0" collapsed="false">
      <c r="A8" s="57"/>
      <c r="C8" s="2" t="s">
        <v>116</v>
      </c>
      <c r="E8" s="12" t="n">
        <f aca="false">CiH!F7</f>
        <v>121839</v>
      </c>
      <c r="H8" s="12" t="n">
        <f aca="false">Bal!H7-F8+E8</f>
        <v>193789.91</v>
      </c>
    </row>
    <row r="9" customFormat="false" ht="12.8" hidden="false" customHeight="false" outlineLevel="0" collapsed="false">
      <c r="A9" s="57"/>
      <c r="C9" s="2" t="s">
        <v>100</v>
      </c>
      <c r="E9" s="12" t="n">
        <f aca="false">Inst!F10</f>
        <v>1155.5155</v>
      </c>
      <c r="H9" s="12" t="n">
        <f aca="false">Bal!H8-F9+E9</f>
        <v>194945.4255</v>
      </c>
    </row>
    <row r="10" customFormat="false" ht="12.8" hidden="false" customHeight="false" outlineLevel="0" collapsed="false">
      <c r="A10" s="57" t="n">
        <v>45382</v>
      </c>
      <c r="B10" s="2" t="s">
        <v>106</v>
      </c>
      <c r="C10" s="2" t="s">
        <v>83</v>
      </c>
      <c r="D10" s="55" t="n">
        <v>13</v>
      </c>
      <c r="F10" s="12" t="n">
        <f aca="false">CapAc!E9</f>
        <v>130030.43124125</v>
      </c>
      <c r="H10" s="12" t="n">
        <f aca="false">Bal!H9-F10+E10</f>
        <v>64914.99425875</v>
      </c>
    </row>
    <row r="11" customFormat="false" ht="12.8" hidden="false" customHeight="false" outlineLevel="0" collapsed="false">
      <c r="E11" s="12" t="n">
        <f aca="false">SUM(E6:E10)</f>
        <v>194945.4255</v>
      </c>
      <c r="F11" s="12" t="n">
        <f aca="false">SUM(F6:F10)</f>
        <v>130030.43124125</v>
      </c>
    </row>
    <row r="15" customFormat="false" ht="12.8" hidden="false" customHeight="false" outlineLevel="0" collapsed="false">
      <c r="A15" s="58" t="s">
        <v>117</v>
      </c>
      <c r="B15" s="58" t="s">
        <v>118</v>
      </c>
      <c r="C15" s="58" t="s">
        <v>6</v>
      </c>
      <c r="D15" s="5"/>
      <c r="E15" s="59" t="s">
        <v>119</v>
      </c>
      <c r="F15" s="59"/>
      <c r="G15" s="59"/>
      <c r="H15" s="59"/>
      <c r="I15" s="58"/>
    </row>
    <row r="16" customFormat="false" ht="12.8" hidden="false" customHeight="false" outlineLevel="0" collapsed="false">
      <c r="A16" s="58"/>
      <c r="B16" s="58" t="s">
        <v>120</v>
      </c>
      <c r="C16" s="58"/>
      <c r="D16" s="5"/>
      <c r="E16" s="59"/>
      <c r="F16" s="59"/>
      <c r="G16" s="59"/>
      <c r="H16" s="59"/>
      <c r="I16" s="58"/>
    </row>
    <row r="17" customFormat="false" ht="12.8" hidden="false" customHeight="false" outlineLevel="0" collapsed="false">
      <c r="A17" s="58"/>
      <c r="B17" s="58"/>
      <c r="C17" s="58" t="s">
        <v>84</v>
      </c>
      <c r="D17" s="5"/>
      <c r="E17" s="59"/>
      <c r="F17" s="59"/>
      <c r="G17" s="59"/>
      <c r="H17" s="59"/>
      <c r="I17" s="58"/>
    </row>
    <row r="18" customFormat="false" ht="12.8" hidden="false" customHeight="false" outlineLevel="0" collapsed="false">
      <c r="A18" s="67"/>
      <c r="B18" s="68" t="s">
        <v>121</v>
      </c>
      <c r="C18" s="69"/>
      <c r="D18" s="70"/>
      <c r="E18" s="23"/>
      <c r="F18" s="71" t="s">
        <v>122</v>
      </c>
      <c r="G18" s="72"/>
      <c r="H18" s="72"/>
      <c r="I18" s="73"/>
    </row>
    <row r="19" customFormat="false" ht="12.8" hidden="false" customHeight="false" outlineLevel="0" collapsed="false">
      <c r="A19" s="22"/>
      <c r="B19" s="58"/>
      <c r="C19" s="22"/>
      <c r="E19" s="23"/>
      <c r="F19" s="59"/>
      <c r="G19" s="23"/>
      <c r="H19" s="23"/>
      <c r="I19" s="22"/>
    </row>
    <row r="20" customFormat="false" ht="12.8" hidden="false" customHeight="false" outlineLevel="0" collapsed="false">
      <c r="A20" s="57" t="n">
        <v>45016</v>
      </c>
      <c r="B20" s="22" t="s">
        <v>106</v>
      </c>
      <c r="C20" s="22" t="s">
        <v>83</v>
      </c>
      <c r="D20" s="65" t="n">
        <f aca="false">CapAc!E9</f>
        <v>130030.43124125</v>
      </c>
      <c r="E20" s="23"/>
      <c r="F20" s="23" t="s">
        <v>123</v>
      </c>
      <c r="G20" s="23" t="s">
        <v>124</v>
      </c>
      <c r="H20" s="23"/>
      <c r="I20" s="22" t="n">
        <v>0</v>
      </c>
    </row>
    <row r="21" customFormat="false" ht="12.8" hidden="false" customHeight="false" outlineLevel="0" collapsed="false">
      <c r="A21" s="57" t="n">
        <v>45016</v>
      </c>
      <c r="B21" s="22" t="s">
        <v>125</v>
      </c>
      <c r="C21" s="22" t="s">
        <v>126</v>
      </c>
      <c r="D21" s="55" t="n">
        <v>0</v>
      </c>
      <c r="E21" s="23"/>
      <c r="F21" s="23" t="s">
        <v>99</v>
      </c>
      <c r="G21" s="23" t="s">
        <v>80</v>
      </c>
      <c r="H21" s="23"/>
      <c r="I21" s="22"/>
    </row>
    <row r="22" customFormat="false" ht="12.8" hidden="false" customHeight="false" outlineLevel="0" collapsed="false">
      <c r="A22" s="57" t="n">
        <v>45016</v>
      </c>
      <c r="B22" s="22" t="s">
        <v>127</v>
      </c>
      <c r="C22" s="22" t="s">
        <v>128</v>
      </c>
      <c r="D22" s="55" t="n">
        <v>0</v>
      </c>
      <c r="E22" s="23"/>
      <c r="F22" s="23" t="s">
        <v>94</v>
      </c>
      <c r="G22" s="23" t="s">
        <v>76</v>
      </c>
      <c r="H22" s="23"/>
      <c r="I22" s="22"/>
    </row>
    <row r="23" customFormat="false" ht="12.8" hidden="false" customHeight="false" outlineLevel="0" collapsed="false">
      <c r="A23" s="57" t="n">
        <v>45016</v>
      </c>
      <c r="B23" s="22" t="s">
        <v>129</v>
      </c>
      <c r="C23" s="22" t="s">
        <v>130</v>
      </c>
      <c r="D23" s="55" t="n">
        <v>0</v>
      </c>
      <c r="E23" s="23"/>
      <c r="F23" s="23" t="s">
        <v>131</v>
      </c>
      <c r="G23" s="23"/>
      <c r="H23" s="23" t="s">
        <v>132</v>
      </c>
      <c r="I23" s="22" t="n">
        <v>0</v>
      </c>
      <c r="N23" s="12"/>
    </row>
    <row r="24" customFormat="false" ht="12.8" hidden="false" customHeight="false" outlineLevel="0" collapsed="false">
      <c r="A24" s="57" t="n">
        <v>45016</v>
      </c>
      <c r="B24" s="22"/>
      <c r="C24" s="22"/>
      <c r="E24" s="23"/>
      <c r="F24" s="23" t="s">
        <v>98</v>
      </c>
      <c r="G24" s="23"/>
      <c r="H24" s="23" t="s">
        <v>74</v>
      </c>
      <c r="I24" s="23" t="n">
        <f aca="false">BkAc!F7</f>
        <v>71950.91</v>
      </c>
      <c r="N24" s="23"/>
    </row>
    <row r="25" customFormat="false" ht="12.8" hidden="false" customHeight="false" outlineLevel="0" collapsed="false">
      <c r="A25" s="57" t="n">
        <v>45016</v>
      </c>
      <c r="B25" s="22"/>
      <c r="C25" s="22"/>
      <c r="E25" s="23"/>
      <c r="F25" s="23" t="s">
        <v>133</v>
      </c>
      <c r="G25" s="23"/>
      <c r="H25" s="23" t="s">
        <v>134</v>
      </c>
      <c r="I25" s="22" t="n">
        <v>0</v>
      </c>
      <c r="K25" s="12"/>
      <c r="N25" s="12"/>
    </row>
    <row r="26" customFormat="false" ht="12.8" hidden="false" customHeight="false" outlineLevel="0" collapsed="false">
      <c r="A26" s="57" t="n">
        <v>45016</v>
      </c>
      <c r="B26" s="22"/>
      <c r="C26" s="22"/>
      <c r="E26" s="23"/>
      <c r="F26" s="23" t="s">
        <v>97</v>
      </c>
      <c r="G26" s="23"/>
      <c r="H26" s="23" t="s">
        <v>75</v>
      </c>
      <c r="I26" s="23" t="n">
        <f aca="false">CiH!F7</f>
        <v>121839</v>
      </c>
      <c r="N26" s="23"/>
    </row>
    <row r="27" customFormat="false" ht="12.8" hidden="false" customHeight="false" outlineLevel="0" collapsed="false">
      <c r="A27" s="57" t="n">
        <v>45016</v>
      </c>
      <c r="B27" s="22"/>
      <c r="C27" s="22"/>
      <c r="E27" s="23"/>
      <c r="F27" s="23" t="s">
        <v>135</v>
      </c>
      <c r="G27" s="23" t="s">
        <v>136</v>
      </c>
      <c r="H27" s="23"/>
      <c r="I27" s="22"/>
      <c r="N27" s="12"/>
    </row>
    <row r="28" customFormat="false" ht="12.8" hidden="false" customHeight="false" outlineLevel="0" collapsed="false">
      <c r="A28" s="57" t="n">
        <v>45016</v>
      </c>
      <c r="B28" s="22"/>
      <c r="C28" s="22"/>
      <c r="E28" s="23"/>
      <c r="F28" s="23" t="s">
        <v>137</v>
      </c>
      <c r="G28" s="23"/>
      <c r="H28" s="23" t="s">
        <v>137</v>
      </c>
      <c r="I28" s="22" t="n">
        <v>0</v>
      </c>
    </row>
    <row r="29" customFormat="false" ht="12.8" hidden="false" customHeight="false" outlineLevel="0" collapsed="false">
      <c r="A29" s="57" t="n">
        <v>45016</v>
      </c>
      <c r="B29" s="22"/>
      <c r="C29" s="22"/>
      <c r="E29" s="23"/>
      <c r="F29" s="23" t="s">
        <v>138</v>
      </c>
      <c r="G29" s="23"/>
      <c r="H29" s="23" t="s">
        <v>139</v>
      </c>
      <c r="I29" s="22" t="n">
        <v>0</v>
      </c>
    </row>
    <row r="30" customFormat="false" ht="12.8" hidden="false" customHeight="false" outlineLevel="0" collapsed="false">
      <c r="A30" s="57" t="n">
        <v>45016</v>
      </c>
      <c r="B30" s="22"/>
      <c r="C30" s="22"/>
      <c r="E30" s="23"/>
      <c r="F30" s="23" t="s">
        <v>140</v>
      </c>
      <c r="G30" s="23" t="s">
        <v>140</v>
      </c>
      <c r="H30" s="23"/>
      <c r="I30" s="22" t="n">
        <v>0</v>
      </c>
    </row>
    <row r="31" customFormat="false" ht="12.8" hidden="false" customHeight="false" outlineLevel="0" collapsed="false">
      <c r="A31" s="57" t="n">
        <v>45016</v>
      </c>
      <c r="B31" s="22"/>
      <c r="C31" s="22"/>
      <c r="E31" s="23"/>
      <c r="F31" s="23" t="s">
        <v>100</v>
      </c>
      <c r="G31" s="23" t="s">
        <v>100</v>
      </c>
      <c r="H31" s="23"/>
      <c r="I31" s="23" t="n">
        <f aca="false">Inst!F10</f>
        <v>1155.5155</v>
      </c>
      <c r="K31" s="12"/>
    </row>
    <row r="32" customFormat="false" ht="12.8" hidden="false" customHeight="false" outlineLevel="0" collapsed="false">
      <c r="A32" s="57" t="n">
        <v>45016</v>
      </c>
      <c r="B32" s="22"/>
      <c r="C32" s="22"/>
      <c r="E32" s="23"/>
      <c r="F32" s="23" t="s">
        <v>141</v>
      </c>
      <c r="G32" s="23" t="s">
        <v>142</v>
      </c>
      <c r="H32" s="23"/>
      <c r="I32" s="22" t="n">
        <v>0</v>
      </c>
      <c r="K32" s="12"/>
    </row>
    <row r="33" customFormat="false" ht="12.8" hidden="false" customHeight="false" outlineLevel="0" collapsed="false">
      <c r="A33" s="57" t="n">
        <v>45016</v>
      </c>
      <c r="B33" s="22"/>
      <c r="C33" s="22"/>
      <c r="E33" s="23"/>
      <c r="F33" s="23"/>
      <c r="G33" s="23"/>
      <c r="H33" s="23"/>
      <c r="I33" s="22"/>
      <c r="K33" s="12"/>
    </row>
    <row r="34" customFormat="false" ht="12.8" hidden="false" customHeight="false" outlineLevel="0" collapsed="false">
      <c r="A34" s="22"/>
      <c r="B34" s="22"/>
      <c r="C34" s="22"/>
      <c r="E34" s="23"/>
      <c r="F34" s="23"/>
      <c r="G34" s="23"/>
      <c r="H34" s="23"/>
      <c r="I34" s="22"/>
      <c r="N34" s="12"/>
    </row>
    <row r="35" customFormat="false" ht="12.8" hidden="false" customHeight="false" outlineLevel="0" collapsed="false">
      <c r="A35" s="74"/>
      <c r="B35" s="68"/>
      <c r="C35" s="68" t="s">
        <v>16</v>
      </c>
      <c r="D35" s="75" t="n">
        <f aca="false">SUM(D20:D33)</f>
        <v>130030.43124125</v>
      </c>
      <c r="E35" s="59"/>
      <c r="F35" s="71" t="s">
        <v>16</v>
      </c>
      <c r="G35" s="76"/>
      <c r="H35" s="76"/>
      <c r="I35" s="77" t="n">
        <f aca="false">SUM(I20:I33)</f>
        <v>194945.4255</v>
      </c>
      <c r="N35" s="12"/>
    </row>
    <row r="36" customFormat="false" ht="12.8" hidden="false" customHeight="false" outlineLevel="0" collapsed="false">
      <c r="N3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ontentStatus>Final</cp:contentStatus>
  <dcterms:created xsi:type="dcterms:W3CDTF">2019-07-21T12:52:19Z</dcterms:created>
  <dc:creator>Anurag-Professional</dc:creator>
  <dc:description/>
  <dc:language>en-IN</dc:language>
  <cp:lastModifiedBy/>
  <cp:lastPrinted>2021-12-27T02:31:20Z</cp:lastPrinted>
  <dcterms:modified xsi:type="dcterms:W3CDTF">2026-07-25T23:12:13Z</dcterms:modified>
  <cp:revision>245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Pan No">
    <vt:lpwstr>AFIPG7802B</vt:lpwstr>
  </property>
  <property fmtid="{D5CDD505-2E9C-101B-9397-08002B2CF9AE}" pid="5" name="ScaleCrop">
    <vt:bool>0</vt:bool>
  </property>
  <property fmtid="{D5CDD505-2E9C-101B-9397-08002B2CF9AE}" pid="6" name="Setups">
    <vt:r8>2</vt:r8>
  </property>
  <property fmtid="{D5CDD505-2E9C-101B-9397-08002B2CF9AE}" pid="7" name="ShareDoc">
    <vt:bool>0</vt:bool>
  </property>
  <property fmtid="{D5CDD505-2E9C-101B-9397-08002B2CF9AE}" pid="8" name="Status">
    <vt:lpwstr>Individual</vt:lpwstr>
  </property>
</Properties>
</file>