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t" sheetId="1" state="visible" r:id="rId2"/>
  </sheets>
  <externalReferences>
    <externalReference r:id="rId3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<sst xmlns="http://schemas.openxmlformats.org/spreadsheetml/2006/main" count="25" uniqueCount="22">
  <si>
    <t xml:space="preserve">Test2017-2018.xlsx</t>
  </si>
  <si>
    <t xml:space="preserve">Society Maintanence Charges</t>
  </si>
  <si>
    <t xml:space="preserve">LEDGER</t>
  </si>
  <si>
    <t xml:space="preserve">Asst. Yr.</t>
  </si>
  <si>
    <t xml:space="preserve">2017-2018</t>
  </si>
  <si>
    <t xml:space="preserve">Date</t>
  </si>
  <si>
    <t xml:space="preserve">A/c</t>
  </si>
  <si>
    <t xml:space="preserve">Description</t>
  </si>
  <si>
    <t xml:space="preserve">CB F No.</t>
  </si>
  <si>
    <t xml:space="preserve">Debit</t>
  </si>
  <si>
    <t xml:space="preserve">Credit</t>
  </si>
  <si>
    <t xml:space="preserve">Dr or Cr</t>
  </si>
  <si>
    <t xml:space="preserve">Balance</t>
  </si>
  <si>
    <t xml:space="preserve">SocMc</t>
  </si>
  <si>
    <t xml:space="preserve">Apt A101 – Apr 2026</t>
  </si>
  <si>
    <t xml:space="preserve">Apt B101 – Apr 2026</t>
  </si>
  <si>
    <t xml:space="preserve">Apt C101 – Apr 2026</t>
  </si>
  <si>
    <t xml:space="preserve">Apt D101 – Apr 2026</t>
  </si>
  <si>
    <t xml:space="preserve">SocInt</t>
  </si>
  <si>
    <t xml:space="preserve">Apt E101 – Apr 2026</t>
  </si>
  <si>
    <t xml:space="preserve">Inc.Exp.A/c</t>
  </si>
  <si>
    <t xml:space="preserve">C/F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</si>
</sst>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d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Accounts/AY2017-2018/Anurag/CB2017-2018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Index"/>
      <sheetName val="Accountant"/>
      <sheetName val="BkAc"/>
      <sheetName val="CiH"/>
      <sheetName val="CurAs"/>
      <sheetName val="ANG"/>
      <sheetName val="ICICI"/>
      <sheetName val="LAT"/>
      <sheetName val="misc"/>
      <sheetName val="MAs"/>
      <sheetName val="Pt"/>
      <sheetName val="Salary"/>
      <sheetName val="SCr"/>
      <sheetName val="TDSIT"/>
      <sheetName val="UnsecLoanT"/>
      <sheetName val="vehexp"/>
      <sheetName val="InExp"/>
      <sheetName val="CapAc"/>
      <sheetName val="Bal"/>
    </sheetNames>
    <sheetDataSet>
      <sheetData sheetId="0">
        <row r="8">
          <cell r="A8">
            <v>42482</v>
          </cell>
        </row>
      </sheetData>
      <sheetData sheetId="1">
        <row r="7">
          <cell r="A7">
            <v>42496</v>
          </cell>
        </row>
        <row r="8">
          <cell r="A8">
            <v>42513</v>
          </cell>
        </row>
      </sheetData>
      <sheetData sheetId="2"/>
      <sheetData sheetId="3"/>
      <sheetData sheetId="4"/>
      <sheetData sheetId="5">
        <row r="7">
          <cell r="A7">
            <v>42632</v>
          </cell>
        </row>
      </sheetData>
      <sheetData sheetId="6">
        <row r="7">
          <cell r="A7">
            <v>42671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1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F11" activeCellId="0" sqref="F11"/>
    </sheetView>
  </sheetViews>
  <sheetFormatPr defaultColWidth="8.6796875" defaultRowHeight="14.4" zeroHeight="false" outlineLevelRow="0" outlineLevelCol="0"/>
  <cols>
    <col collapsed="false" customWidth="true" hidden="false" outlineLevel="0" max="1" min="1" style="1" width="17.65"/>
    <col collapsed="false" customWidth="true" hidden="false" outlineLevel="0" max="2" min="2" style="1" width="10.71"/>
    <col collapsed="false" customWidth="true" hidden="false" outlineLevel="0" max="3" min="3" style="1" width="33.77"/>
    <col collapsed="false" customWidth="true" hidden="false" outlineLevel="0" max="4" min="4" style="2" width="8.37"/>
    <col collapsed="false" customWidth="true" hidden="false" outlineLevel="0" max="6" min="5" style="3" width="9.48"/>
    <col collapsed="false" customWidth="true" hidden="false" outlineLevel="0" max="7" min="7" style="3" width="8.06"/>
    <col collapsed="false" customWidth="true" hidden="false" outlineLevel="0" max="8" min="8" style="3" width="10.18"/>
    <col collapsed="false" customWidth="true" hidden="false" outlineLevel="0" max="1025" min="9" style="1" width="8.87"/>
  </cols>
  <sheetData>
    <row r="1" customFormat="false" ht="14.4" hidden="false" customHeight="false" outlineLevel="0" collapsed="false">
      <c r="A1" s="4"/>
      <c r="B1" s="4"/>
      <c r="C1" s="4"/>
      <c r="D1" s="4"/>
      <c r="E1" s="5"/>
      <c r="F1" s="5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</row>
    <row r="2" customFormat="false" ht="14.4" hidden="false" customHeight="false" outlineLevel="0" collapsed="false">
      <c r="A2" s="4" t="s">
        <v>0</v>
      </c>
      <c r="B2" s="4"/>
      <c r="C2" s="4" t="s">
        <v>1</v>
      </c>
      <c r="D2" s="4"/>
      <c r="E2" s="5" t="s">
        <v>2</v>
      </c>
      <c r="F2" s="5"/>
      <c r="G2" s="5" t="s">
        <v>3</v>
      </c>
      <c r="H2" s="5" t="s">
        <v>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</row>
    <row r="3" customFormat="false" ht="14.4" hidden="false" customHeight="false" outlineLevel="0" collapsed="false">
      <c r="B3" s="4"/>
      <c r="D3" s="4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</row>
    <row r="4" customFormat="false" ht="14.4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5" t="s">
        <v>10</v>
      </c>
      <c r="G4" s="5" t="s">
        <v>11</v>
      </c>
      <c r="H4" s="5" t="s">
        <v>12</v>
      </c>
    </row>
    <row r="5" customFormat="false" ht="14.4" hidden="false" customHeight="false" outlineLevel="0" collapsed="false">
      <c r="D5" s="1"/>
      <c r="E5" s="1"/>
      <c r="F5" s="1"/>
      <c r="H5" s="1"/>
    </row>
    <row r="6" customFormat="false" ht="12.8" hidden="false" customHeight="false" outlineLevel="0" collapsed="false">
      <c r="A6" s="6" t="n">
        <f aca="false">[1]Apr!A8</f>
        <v>42482</v>
      </c>
      <c r="B6" s="1" t="s">
        <v>13</v>
      </c>
      <c r="C6" s="7" t="s">
        <v>14</v>
      </c>
      <c r="D6" s="2" t="n">
        <v>1</v>
      </c>
      <c r="E6" s="1"/>
      <c r="F6" s="3" t="n">
        <v>1200</v>
      </c>
      <c r="H6" s="3" t="n">
        <f aca="false">Pt!H5+F6-E6</f>
        <v>1200</v>
      </c>
    </row>
    <row r="7" customFormat="false" ht="12.8" hidden="false" customHeight="false" outlineLevel="0" collapsed="false">
      <c r="A7" s="6" t="n">
        <f aca="false">[1]May!A7</f>
        <v>42496</v>
      </c>
      <c r="B7" s="1" t="s">
        <v>13</v>
      </c>
      <c r="C7" s="8" t="s">
        <v>15</v>
      </c>
      <c r="D7" s="2" t="n">
        <v>1</v>
      </c>
      <c r="E7" s="1"/>
      <c r="F7" s="3" t="n">
        <v>1200</v>
      </c>
      <c r="H7" s="3" t="n">
        <f aca="false">Pt!H6+F7-E7</f>
        <v>2400</v>
      </c>
    </row>
    <row r="8" customFormat="false" ht="12.8" hidden="false" customHeight="false" outlineLevel="0" collapsed="false">
      <c r="A8" s="6" t="n">
        <f aca="false">[1]May!A8</f>
        <v>42513</v>
      </c>
      <c r="B8" s="1" t="s">
        <v>13</v>
      </c>
      <c r="C8" s="7" t="s">
        <v>16</v>
      </c>
      <c r="D8" s="2" t="n">
        <v>1</v>
      </c>
      <c r="E8" s="1"/>
      <c r="F8" s="3" t="n">
        <v>2400</v>
      </c>
      <c r="H8" s="3" t="n">
        <f aca="false">Pt!H7+F8-E8</f>
        <v>4800</v>
      </c>
    </row>
    <row r="9" customFormat="false" ht="12.8" hidden="false" customHeight="false" outlineLevel="0" collapsed="false">
      <c r="A9" s="6" t="n">
        <f aca="false">[1]Sep!A7</f>
        <v>42632</v>
      </c>
      <c r="B9" s="1" t="s">
        <v>13</v>
      </c>
      <c r="C9" s="8" t="s">
        <v>17</v>
      </c>
      <c r="D9" s="2" t="n">
        <v>1</v>
      </c>
      <c r="E9" s="1"/>
      <c r="F9" s="3" t="n">
        <v>2400</v>
      </c>
      <c r="H9" s="3" t="n">
        <f aca="false">Pt!H8+F9-E9</f>
        <v>7200</v>
      </c>
    </row>
    <row r="10" customFormat="false" ht="12.8" hidden="false" customHeight="false" outlineLevel="0" collapsed="false">
      <c r="A10" s="6" t="n">
        <f aca="false">[1]Oct!A7</f>
        <v>42671</v>
      </c>
      <c r="B10" s="1" t="s">
        <v>18</v>
      </c>
      <c r="C10" s="7" t="s">
        <v>19</v>
      </c>
      <c r="D10" s="2" t="n">
        <v>1</v>
      </c>
      <c r="E10" s="1"/>
      <c r="F10" s="3" t="n">
        <v>450</v>
      </c>
      <c r="H10" s="3" t="n">
        <f aca="false">Pt!H9+F10-E10</f>
        <v>7650</v>
      </c>
    </row>
    <row r="11" customFormat="false" ht="14.4" hidden="false" customHeight="false" outlineLevel="0" collapsed="false">
      <c r="A11" s="6" t="n">
        <v>42825</v>
      </c>
      <c r="B11" s="1" t="s">
        <v>20</v>
      </c>
      <c r="C11" s="1" t="s">
        <v>21</v>
      </c>
      <c r="D11" s="2" t="n">
        <v>16</v>
      </c>
      <c r="E11" s="3" t="n">
        <f aca="false">Pt!H10</f>
        <v>7650</v>
      </c>
      <c r="H11" s="3" t="n">
        <f aca="false">Pt!H10+F11-E11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2026-05-13T18:53:16Z</dcterms:created>
  <dc:creator/>
  <dc:description/>
  <dc:language>en-IN</dc:language>
  <cp:lastModifiedBy/>
  <dcterms:modified xsi:type="dcterms:W3CDTF">2026-06-23T00:38:08Z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