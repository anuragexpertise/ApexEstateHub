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ocMc" sheetId="1" state="visible" r:id="rId2"/>
    <sheet name="Inst" sheetId="2" state="visible" r:id="rId3"/>
    <sheet name="Dep" sheetId="3" state="visible" r:id="rId4"/>
    <sheet name="InExp" sheetId="4" state="visible" r:id="rId5"/>
    <sheet name="CapAc" sheetId="5" state="visible" r:id="rId6"/>
    <sheet name="Bal" sheetId="6" state="visible" r:id="rId7"/>
  </sheets>
  <externalReferences>
    <externalReference r:id="rId8"/>
    <externalReference r:id="rId9"/>
  </externalReferenc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<sst xmlns="http://schemas.openxmlformats.org/spreadsheetml/2006/main" count="181" uniqueCount="90">
  <si>
    <t xml:space="preserve">Test2017-2018.xlsx</t>
  </si>
  <si>
    <t xml:space="preserve">Society Maintanence Charges</t>
  </si>
  <si>
    <t xml:space="preserve">LEDGER</t>
  </si>
  <si>
    <t xml:space="preserve">Asst. Yr.</t>
  </si>
  <si>
    <t xml:space="preserve">2017-2018</t>
  </si>
  <si>
    <t xml:space="preserve">Date</t>
  </si>
  <si>
    <t xml:space="preserve">A/c</t>
  </si>
  <si>
    <t xml:space="preserve">Description</t>
  </si>
  <si>
    <t xml:space="preserve">CB F No.</t>
  </si>
  <si>
    <t xml:space="preserve">Debit</t>
  </si>
  <si>
    <t xml:space="preserve">Credit</t>
  </si>
  <si>
    <t xml:space="preserve">Dr or Cr</t>
  </si>
  <si>
    <t xml:space="preserve">Balance</t>
  </si>
  <si>
    <t xml:space="preserve">SocMc</t>
  </si>
  <si>
    <t xml:space="preserve">Apt A101 – Apr 2026</t>
  </si>
  <si>
    <t xml:space="preserve">Apt B101 – Apr 2026</t>
  </si>
  <si>
    <t xml:space="preserve">Apt C101 – Apr 2026</t>
  </si>
  <si>
    <t xml:space="preserve">Apt D101 – Apr 2026</t>
  </si>
  <si>
    <t xml:space="preserve">SocInt</t>
  </si>
  <si>
    <t xml:space="preserve">Apt E101 – Apr 2026</t>
  </si>
  <si>
    <t xml:space="preserve">Inc.Exp.A/c</t>
  </si>
  <si>
    <t xml:space="preserve">C/F</t>
  </si>
  <si>
    <t xml:space="preserve">CB2025-2026.xlsx</t>
  </si>
  <si>
    <t xml:space="preserve">Instruments</t>
  </si>
  <si>
    <t xml:space="preserve">2024-2025</t>
  </si>
  <si>
    <t xml:space="preserve">By Balance</t>
  </si>
  <si>
    <t xml:space="preserve">B/F</t>
  </si>
  <si>
    <t xml:space="preserve">Dep</t>
  </si>
  <si>
    <t xml:space="preserve">Depreciation @ 7.5%</t>
  </si>
  <si>
    <t xml:space="preserve">Depreciation @ 15%</t>
  </si>
  <si>
    <t xml:space="preserve">MAs</t>
  </si>
  <si>
    <t xml:space="preserve">Depreciation Account</t>
  </si>
  <si>
    <t xml:space="preserve">LD F No.</t>
  </si>
  <si>
    <t xml:space="preserve">Instruments @ 7.5 %</t>
  </si>
  <si>
    <t xml:space="preserve">Instruments @ 15 %</t>
  </si>
  <si>
    <t xml:space="preserve">Income Expenditure Account</t>
  </si>
  <si>
    <t xml:space="preserve">Salary</t>
  </si>
  <si>
    <t xml:space="preserve">Misc.</t>
  </si>
  <si>
    <t xml:space="preserve">Miscellaneous</t>
  </si>
  <si>
    <t xml:space="preserve">Veh. Exp.</t>
  </si>
  <si>
    <t xml:space="preserve">Vehicle Expenditure</t>
  </si>
  <si>
    <t xml:space="preserve">Patients</t>
  </si>
  <si>
    <t xml:space="preserve">Med.Cons.</t>
  </si>
  <si>
    <t xml:space="preserve">Medical Consultation - Freelance</t>
  </si>
  <si>
    <t xml:space="preserve">CapAc</t>
  </si>
  <si>
    <t xml:space="preserve">Expenditure =&gt;</t>
  </si>
  <si>
    <t xml:space="preserve">&lt;= Reciepts</t>
  </si>
  <si>
    <t xml:space="preserve">Profit%</t>
  </si>
  <si>
    <t xml:space="preserve">Capital Account</t>
  </si>
  <si>
    <t xml:space="preserve">Income from Proffession</t>
  </si>
  <si>
    <t xml:space="preserve">TDStoIT</t>
  </si>
  <si>
    <t xml:space="preserve">Bal</t>
  </si>
  <si>
    <t xml:space="preserve">Balance Sheet</t>
  </si>
  <si>
    <t xml:space="preserve">Movable Assets</t>
  </si>
  <si>
    <t xml:space="preserve">bank acs</t>
  </si>
  <si>
    <t xml:space="preserve">cih</t>
  </si>
  <si>
    <t xml:space="preserve">Dr. Anurag Gupta </t>
  </si>
  <si>
    <t xml:space="preserve">PAN No:</t>
  </si>
  <si>
    <t xml:space="preserve">AFIPG7802B</t>
  </si>
  <si>
    <t xml:space="preserve">ASST YEAR 2023-2024</t>
  </si>
  <si>
    <t xml:space="preserve">BALANCE SHEET – PROFESSION</t>
  </si>
  <si>
    <t xml:space="preserve">Liabilities </t>
  </si>
  <si>
    <t xml:space="preserve">Assets</t>
  </si>
  <si>
    <t xml:space="preserve">ImAs</t>
  </si>
  <si>
    <t xml:space="preserve">Immovable Assets</t>
  </si>
  <si>
    <t xml:space="preserve">CurLb</t>
  </si>
  <si>
    <t xml:space="preserve">Current Liabilities</t>
  </si>
  <si>
    <t xml:space="preserve">SCr</t>
  </si>
  <si>
    <t xml:space="preserve">Sundry Creditors</t>
  </si>
  <si>
    <t xml:space="preserve">CurAs</t>
  </si>
  <si>
    <t xml:space="preserve">Current Assets</t>
  </si>
  <si>
    <t xml:space="preserve">L&amp;A</t>
  </si>
  <si>
    <t xml:space="preserve">Loans And Advances</t>
  </si>
  <si>
    <t xml:space="preserve">Dp</t>
  </si>
  <si>
    <t xml:space="preserve">Deposits (Assets)</t>
  </si>
  <si>
    <t xml:space="preserve">BkAc</t>
  </si>
  <si>
    <t xml:space="preserve">Bank Accounts</t>
  </si>
  <si>
    <t xml:space="preserve">SiH</t>
  </si>
  <si>
    <t xml:space="preserve">Stock-in-hand</t>
  </si>
  <si>
    <t xml:space="preserve">CiH</t>
  </si>
  <si>
    <t xml:space="preserve">Cash-in-hand</t>
  </si>
  <si>
    <t xml:space="preserve">Inv</t>
  </si>
  <si>
    <t xml:space="preserve">Investments</t>
  </si>
  <si>
    <t xml:space="preserve">Shares</t>
  </si>
  <si>
    <t xml:space="preserve">MFund</t>
  </si>
  <si>
    <t xml:space="preserve">Mutual Fund</t>
  </si>
  <si>
    <t xml:space="preserve">Furniture</t>
  </si>
  <si>
    <t xml:space="preserve">Sdr</t>
  </si>
  <si>
    <t xml:space="preserve">Sundry Debitors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</si>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</sst>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dd/mm/yyyy"/>
    <numFmt numFmtId="167" formatCode="d/m/yyyy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externalLink" Target="externalLinks/externalLink1.xml"/><Relationship Id="rId9" Type="http://schemas.openxmlformats.org/officeDocument/2006/relationships/externalLink" Target="externalLinks/externalLink2.xml"/><Relationship Id="rId1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Accounts/AY2017-2018/Anurag/CB2017-2018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Accounts/AY2025-2026/Anurag/CB2025-2026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Index"/>
      <sheetName val="Accountant"/>
      <sheetName val="BkAc"/>
      <sheetName val="CiH"/>
      <sheetName val="CurAs"/>
      <sheetName val="ANG"/>
      <sheetName val="ICICI"/>
      <sheetName val="LAT"/>
      <sheetName val="misc"/>
      <sheetName val="MAs"/>
      <sheetName val="Pt"/>
      <sheetName val="Salary"/>
      <sheetName val="SCr"/>
      <sheetName val="TDSIT"/>
      <sheetName val="UnsecLoanT"/>
      <sheetName val="vehexp"/>
      <sheetName val="InExp"/>
      <sheetName val="CapAc"/>
      <sheetName val="Bal"/>
    </sheetNames>
    <sheetDataSet>
      <sheetData sheetId="0">
        <row r="8">
          <cell r="A8">
            <v>42482</v>
          </cell>
        </row>
      </sheetData>
      <sheetData sheetId="1">
        <row r="7">
          <cell r="A7">
            <v>42496</v>
          </cell>
        </row>
        <row r="8">
          <cell r="A8">
            <v>42513</v>
          </cell>
        </row>
      </sheetData>
      <sheetData sheetId="2"/>
      <sheetData sheetId="3"/>
      <sheetData sheetId="4"/>
      <sheetData sheetId="5">
        <row r="7">
          <cell r="A7">
            <v>42632</v>
          </cell>
        </row>
      </sheetData>
      <sheetData sheetId="6">
        <row r="7">
          <cell r="A7">
            <v>42671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/>
</externalLink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K11"/>
  <sheetViews>
    <sheetView showFormulas="false" showGridLines="true" showRowColHeaders="true" showZeros="true" rightToLeft="false" tabSelected="false" showOutlineSymbols="true" defaultGridColor="true" view="normal" topLeftCell="A1" colorId="64" zoomScale="162" zoomScaleNormal="162" zoomScalePageLayoutView="100" workbookViewId="0">
      <selection pane="topLeft" activeCell="H6" activeCellId="0" sqref="H6"/>
    </sheetView>
  </sheetViews>
  <sheetFormatPr defaultColWidth="8.6796875" defaultRowHeight="14.4" zeroHeight="false" outlineLevelRow="0" outlineLevelCol="0"/>
  <cols>
    <col collapsed="false" customWidth="true" hidden="false" outlineLevel="0" max="1" min="1" style="1" width="17.65"/>
    <col collapsed="false" customWidth="true" hidden="false" outlineLevel="0" max="2" min="2" style="1" width="10.71"/>
    <col collapsed="false" customWidth="true" hidden="false" outlineLevel="0" max="3" min="3" style="1" width="33.77"/>
    <col collapsed="false" customWidth="true" hidden="false" outlineLevel="0" max="4" min="4" style="2" width="8.37"/>
    <col collapsed="false" customWidth="true" hidden="false" outlineLevel="0" max="6" min="5" style="3" width="9.48"/>
    <col collapsed="false" customWidth="true" hidden="false" outlineLevel="0" max="7" min="7" style="3" width="8.06"/>
    <col collapsed="false" customWidth="true" hidden="false" outlineLevel="0" max="8" min="8" style="3" width="10.18"/>
    <col collapsed="false" customWidth="true" hidden="false" outlineLevel="0" max="1025" min="9" style="1" width="8.87"/>
  </cols>
  <sheetData>
    <row r="1" customFormat="false" ht="14.4" hidden="false" customHeight="false" outlineLevel="0" collapsed="false">
      <c r="A1" s="4"/>
      <c r="B1" s="4"/>
      <c r="C1" s="4"/>
      <c r="D1" s="4"/>
      <c r="E1" s="5"/>
      <c r="F1" s="5"/>
      <c r="G1" s="5"/>
      <c r="H1" s="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  <c r="LE1" s="4"/>
      <c r="LF1" s="4"/>
      <c r="LG1" s="4"/>
      <c r="LH1" s="4"/>
      <c r="LI1" s="4"/>
      <c r="LJ1" s="4"/>
      <c r="LK1" s="4"/>
      <c r="LL1" s="4"/>
      <c r="LM1" s="4"/>
      <c r="LN1" s="4"/>
      <c r="LO1" s="4"/>
      <c r="LP1" s="4"/>
      <c r="LQ1" s="4"/>
      <c r="LR1" s="4"/>
      <c r="LS1" s="4"/>
      <c r="LT1" s="4"/>
      <c r="LU1" s="4"/>
      <c r="LV1" s="4"/>
      <c r="LW1" s="4"/>
      <c r="LX1" s="4"/>
      <c r="LY1" s="4"/>
      <c r="LZ1" s="4"/>
      <c r="MA1" s="4"/>
      <c r="MB1" s="4"/>
      <c r="MC1" s="4"/>
      <c r="MD1" s="4"/>
      <c r="ME1" s="4"/>
      <c r="MF1" s="4"/>
      <c r="MG1" s="4"/>
      <c r="MH1" s="4"/>
      <c r="MI1" s="4"/>
      <c r="MJ1" s="4"/>
      <c r="MK1" s="4"/>
      <c r="ML1" s="4"/>
      <c r="MM1" s="4"/>
      <c r="MN1" s="4"/>
      <c r="MO1" s="4"/>
      <c r="MP1" s="4"/>
      <c r="MQ1" s="4"/>
      <c r="MR1" s="4"/>
      <c r="MS1" s="4"/>
      <c r="MT1" s="4"/>
      <c r="MU1" s="4"/>
      <c r="MV1" s="4"/>
      <c r="MW1" s="4"/>
      <c r="MX1" s="4"/>
      <c r="MY1" s="4"/>
      <c r="MZ1" s="4"/>
      <c r="NA1" s="4"/>
      <c r="NB1" s="4"/>
      <c r="NC1" s="4"/>
      <c r="ND1" s="4"/>
      <c r="NE1" s="4"/>
      <c r="NF1" s="4"/>
      <c r="NG1" s="4"/>
      <c r="NH1" s="4"/>
      <c r="NI1" s="4"/>
      <c r="NJ1" s="4"/>
      <c r="NK1" s="4"/>
      <c r="NL1" s="4"/>
      <c r="NM1" s="4"/>
      <c r="NN1" s="4"/>
      <c r="NO1" s="4"/>
      <c r="NP1" s="4"/>
      <c r="NQ1" s="4"/>
      <c r="NR1" s="4"/>
      <c r="NS1" s="4"/>
      <c r="NT1" s="4"/>
      <c r="NU1" s="4"/>
      <c r="NV1" s="4"/>
      <c r="NW1" s="4"/>
      <c r="NX1" s="4"/>
      <c r="NY1" s="4"/>
      <c r="NZ1" s="4"/>
      <c r="OA1" s="4"/>
      <c r="OB1" s="4"/>
      <c r="OC1" s="4"/>
      <c r="OD1" s="4"/>
      <c r="OE1" s="4"/>
      <c r="OF1" s="4"/>
      <c r="OG1" s="4"/>
      <c r="OH1" s="4"/>
      <c r="OI1" s="4"/>
      <c r="OJ1" s="4"/>
      <c r="OK1" s="4"/>
      <c r="OL1" s="4"/>
      <c r="OM1" s="4"/>
      <c r="ON1" s="4"/>
      <c r="OO1" s="4"/>
      <c r="OP1" s="4"/>
      <c r="OQ1" s="4"/>
      <c r="OR1" s="4"/>
      <c r="OS1" s="4"/>
      <c r="OT1" s="4"/>
      <c r="OU1" s="4"/>
      <c r="OV1" s="4"/>
      <c r="OW1" s="4"/>
      <c r="OX1" s="4"/>
      <c r="OY1" s="4"/>
      <c r="OZ1" s="4"/>
      <c r="PA1" s="4"/>
      <c r="PB1" s="4"/>
      <c r="PC1" s="4"/>
      <c r="PD1" s="4"/>
      <c r="PE1" s="4"/>
      <c r="PF1" s="4"/>
      <c r="PG1" s="4"/>
      <c r="PH1" s="4"/>
      <c r="PI1" s="4"/>
      <c r="PJ1" s="4"/>
      <c r="PK1" s="4"/>
      <c r="PL1" s="4"/>
      <c r="PM1" s="4"/>
      <c r="PN1" s="4"/>
      <c r="PO1" s="4"/>
      <c r="PP1" s="4"/>
      <c r="PQ1" s="4"/>
      <c r="PR1" s="4"/>
      <c r="PS1" s="4"/>
      <c r="PT1" s="4"/>
      <c r="PU1" s="4"/>
      <c r="PV1" s="4"/>
      <c r="PW1" s="4"/>
      <c r="PX1" s="4"/>
      <c r="PY1" s="4"/>
      <c r="PZ1" s="4"/>
      <c r="QA1" s="4"/>
      <c r="QB1" s="4"/>
      <c r="QC1" s="4"/>
      <c r="QD1" s="4"/>
      <c r="QE1" s="4"/>
      <c r="QF1" s="4"/>
      <c r="QG1" s="4"/>
      <c r="QH1" s="4"/>
      <c r="QI1" s="4"/>
      <c r="QJ1" s="4"/>
      <c r="QK1" s="4"/>
      <c r="QL1" s="4"/>
      <c r="QM1" s="4"/>
      <c r="QN1" s="4"/>
      <c r="QO1" s="4"/>
      <c r="QP1" s="4"/>
      <c r="QQ1" s="4"/>
      <c r="QR1" s="4"/>
      <c r="QS1" s="4"/>
      <c r="QT1" s="4"/>
      <c r="QU1" s="4"/>
      <c r="QV1" s="4"/>
      <c r="QW1" s="4"/>
      <c r="QX1" s="4"/>
      <c r="QY1" s="4"/>
      <c r="QZ1" s="4"/>
      <c r="RA1" s="4"/>
      <c r="RB1" s="4"/>
      <c r="RC1" s="4"/>
      <c r="RD1" s="4"/>
      <c r="RE1" s="4"/>
      <c r="RF1" s="4"/>
      <c r="RG1" s="4"/>
      <c r="RH1" s="4"/>
      <c r="RI1" s="4"/>
      <c r="RJ1" s="4"/>
      <c r="RK1" s="4"/>
      <c r="RL1" s="4"/>
      <c r="RM1" s="4"/>
      <c r="RN1" s="4"/>
      <c r="RO1" s="4"/>
      <c r="RP1" s="4"/>
      <c r="RQ1" s="4"/>
      <c r="RR1" s="4"/>
      <c r="RS1" s="4"/>
      <c r="RT1" s="4"/>
      <c r="RU1" s="4"/>
      <c r="RV1" s="4"/>
      <c r="RW1" s="4"/>
      <c r="RX1" s="4"/>
      <c r="RY1" s="4"/>
      <c r="RZ1" s="4"/>
      <c r="SA1" s="4"/>
      <c r="SB1" s="4"/>
      <c r="SC1" s="4"/>
      <c r="SD1" s="4"/>
      <c r="SE1" s="4"/>
      <c r="SF1" s="4"/>
      <c r="SG1" s="4"/>
      <c r="SH1" s="4"/>
      <c r="SI1" s="4"/>
      <c r="SJ1" s="4"/>
      <c r="SK1" s="4"/>
      <c r="SL1" s="4"/>
      <c r="SM1" s="4"/>
      <c r="SN1" s="4"/>
      <c r="SO1" s="4"/>
      <c r="SP1" s="4"/>
      <c r="SQ1" s="4"/>
      <c r="SR1" s="4"/>
      <c r="SS1" s="4"/>
      <c r="ST1" s="4"/>
      <c r="SU1" s="4"/>
      <c r="SV1" s="4"/>
      <c r="SW1" s="4"/>
      <c r="SX1" s="4"/>
      <c r="SY1" s="4"/>
      <c r="SZ1" s="4"/>
      <c r="TA1" s="4"/>
      <c r="TB1" s="4"/>
      <c r="TC1" s="4"/>
      <c r="TD1" s="4"/>
      <c r="TE1" s="4"/>
      <c r="TF1" s="4"/>
      <c r="TG1" s="4"/>
      <c r="TH1" s="4"/>
      <c r="TI1" s="4"/>
      <c r="TJ1" s="4"/>
      <c r="TK1" s="4"/>
      <c r="TL1" s="4"/>
      <c r="TM1" s="4"/>
      <c r="TN1" s="4"/>
      <c r="TO1" s="4"/>
      <c r="TP1" s="4"/>
      <c r="TQ1" s="4"/>
      <c r="TR1" s="4"/>
      <c r="TS1" s="4"/>
      <c r="TT1" s="4"/>
      <c r="TU1" s="4"/>
      <c r="TV1" s="4"/>
      <c r="TW1" s="4"/>
      <c r="TX1" s="4"/>
      <c r="TY1" s="4"/>
      <c r="TZ1" s="4"/>
      <c r="UA1" s="4"/>
      <c r="UB1" s="4"/>
      <c r="UC1" s="4"/>
      <c r="UD1" s="4"/>
      <c r="UE1" s="4"/>
      <c r="UF1" s="4"/>
      <c r="UG1" s="4"/>
      <c r="UH1" s="4"/>
      <c r="UI1" s="4"/>
      <c r="UJ1" s="4"/>
      <c r="UK1" s="4"/>
      <c r="UL1" s="4"/>
      <c r="UM1" s="4"/>
      <c r="UN1" s="4"/>
      <c r="UO1" s="4"/>
      <c r="UP1" s="4"/>
      <c r="UQ1" s="4"/>
      <c r="UR1" s="4"/>
      <c r="US1" s="4"/>
      <c r="UT1" s="4"/>
      <c r="UU1" s="4"/>
      <c r="UV1" s="4"/>
      <c r="UW1" s="4"/>
      <c r="UX1" s="4"/>
      <c r="UY1" s="4"/>
      <c r="UZ1" s="4"/>
      <c r="VA1" s="4"/>
      <c r="VB1" s="4"/>
      <c r="VC1" s="4"/>
      <c r="VD1" s="4"/>
      <c r="VE1" s="4"/>
      <c r="VF1" s="4"/>
      <c r="VG1" s="4"/>
      <c r="VH1" s="4"/>
      <c r="VI1" s="4"/>
      <c r="VJ1" s="4"/>
      <c r="VK1" s="4"/>
      <c r="VL1" s="4"/>
      <c r="VM1" s="4"/>
      <c r="VN1" s="4"/>
      <c r="VO1" s="4"/>
      <c r="VP1" s="4"/>
      <c r="VQ1" s="4"/>
      <c r="VR1" s="4"/>
      <c r="VS1" s="4"/>
      <c r="VT1" s="4"/>
      <c r="VU1" s="4"/>
      <c r="VV1" s="4"/>
      <c r="VW1" s="4"/>
      <c r="VX1" s="4"/>
      <c r="VY1" s="4"/>
      <c r="VZ1" s="4"/>
      <c r="WA1" s="4"/>
      <c r="WB1" s="4"/>
      <c r="WC1" s="4"/>
      <c r="WD1" s="4"/>
      <c r="WE1" s="4"/>
      <c r="WF1" s="4"/>
      <c r="WG1" s="4"/>
      <c r="WH1" s="4"/>
      <c r="WI1" s="4"/>
      <c r="WJ1" s="4"/>
      <c r="WK1" s="4"/>
      <c r="WL1" s="4"/>
      <c r="WM1" s="4"/>
      <c r="WN1" s="4"/>
      <c r="WO1" s="4"/>
      <c r="WP1" s="4"/>
      <c r="WQ1" s="4"/>
      <c r="WR1" s="4"/>
      <c r="WS1" s="4"/>
      <c r="WT1" s="4"/>
      <c r="WU1" s="4"/>
      <c r="WV1" s="4"/>
      <c r="WW1" s="4"/>
      <c r="WX1" s="4"/>
      <c r="WY1" s="4"/>
      <c r="WZ1" s="4"/>
      <c r="XA1" s="4"/>
      <c r="XB1" s="4"/>
      <c r="XC1" s="4"/>
      <c r="XD1" s="4"/>
      <c r="XE1" s="4"/>
      <c r="XF1" s="4"/>
      <c r="XG1" s="4"/>
      <c r="XH1" s="4"/>
      <c r="XI1" s="4"/>
      <c r="XJ1" s="4"/>
      <c r="XK1" s="4"/>
      <c r="XL1" s="4"/>
      <c r="XM1" s="4"/>
      <c r="XN1" s="4"/>
      <c r="XO1" s="4"/>
      <c r="XP1" s="4"/>
      <c r="XQ1" s="4"/>
      <c r="XR1" s="4"/>
      <c r="XS1" s="4"/>
      <c r="XT1" s="4"/>
      <c r="XU1" s="4"/>
      <c r="XV1" s="4"/>
      <c r="XW1" s="4"/>
      <c r="XX1" s="4"/>
      <c r="XY1" s="4"/>
      <c r="XZ1" s="4"/>
      <c r="YA1" s="4"/>
      <c r="YB1" s="4"/>
      <c r="YC1" s="4"/>
      <c r="YD1" s="4"/>
      <c r="YE1" s="4"/>
      <c r="YF1" s="4"/>
      <c r="YG1" s="4"/>
      <c r="YH1" s="4"/>
      <c r="YI1" s="4"/>
      <c r="YJ1" s="4"/>
      <c r="YK1" s="4"/>
      <c r="YL1" s="4"/>
      <c r="YM1" s="4"/>
      <c r="YN1" s="4"/>
      <c r="YO1" s="4"/>
      <c r="YP1" s="4"/>
      <c r="YQ1" s="4"/>
      <c r="YR1" s="4"/>
      <c r="YS1" s="4"/>
      <c r="YT1" s="4"/>
      <c r="YU1" s="4"/>
      <c r="YV1" s="4"/>
      <c r="YW1" s="4"/>
      <c r="YX1" s="4"/>
      <c r="YY1" s="4"/>
      <c r="YZ1" s="4"/>
      <c r="ZA1" s="4"/>
      <c r="ZB1" s="4"/>
      <c r="ZC1" s="4"/>
      <c r="ZD1" s="4"/>
      <c r="ZE1" s="4"/>
      <c r="ZF1" s="4"/>
      <c r="ZG1" s="4"/>
      <c r="ZH1" s="4"/>
      <c r="ZI1" s="4"/>
      <c r="ZJ1" s="4"/>
      <c r="ZK1" s="4"/>
      <c r="ZL1" s="4"/>
      <c r="ZM1" s="4"/>
      <c r="ZN1" s="4"/>
      <c r="ZO1" s="4"/>
      <c r="ZP1" s="4"/>
      <c r="ZQ1" s="4"/>
      <c r="ZR1" s="4"/>
      <c r="ZS1" s="4"/>
      <c r="ZT1" s="4"/>
      <c r="ZU1" s="4"/>
      <c r="ZV1" s="4"/>
      <c r="ZW1" s="4"/>
      <c r="ZX1" s="4"/>
      <c r="ZY1" s="4"/>
      <c r="ZZ1" s="4"/>
      <c r="AAA1" s="4"/>
      <c r="AAB1" s="4"/>
      <c r="AAC1" s="4"/>
      <c r="AAD1" s="4"/>
      <c r="AAE1" s="4"/>
      <c r="AAF1" s="4"/>
      <c r="AAG1" s="4"/>
      <c r="AAH1" s="4"/>
      <c r="AAI1" s="4"/>
      <c r="AAJ1" s="4"/>
      <c r="AAK1" s="4"/>
      <c r="AAL1" s="4"/>
      <c r="AAM1" s="4"/>
      <c r="AAN1" s="4"/>
      <c r="AAO1" s="4"/>
      <c r="AAP1" s="4"/>
      <c r="AAQ1" s="4"/>
      <c r="AAR1" s="4"/>
      <c r="AAS1" s="4"/>
      <c r="AAT1" s="4"/>
      <c r="AAU1" s="4"/>
      <c r="AAV1" s="4"/>
      <c r="AAW1" s="4"/>
      <c r="AAX1" s="4"/>
      <c r="AAY1" s="4"/>
      <c r="AAZ1" s="4"/>
      <c r="ABA1" s="4"/>
      <c r="ABB1" s="4"/>
      <c r="ABC1" s="4"/>
      <c r="ABD1" s="4"/>
      <c r="ABE1" s="4"/>
      <c r="ABF1" s="4"/>
      <c r="ABG1" s="4"/>
      <c r="ABH1" s="4"/>
      <c r="ABI1" s="4"/>
      <c r="ABJ1" s="4"/>
      <c r="ABK1" s="4"/>
      <c r="ABL1" s="4"/>
      <c r="ABM1" s="4"/>
      <c r="ABN1" s="4"/>
      <c r="ABO1" s="4"/>
      <c r="ABP1" s="4"/>
      <c r="ABQ1" s="4"/>
      <c r="ABR1" s="4"/>
      <c r="ABS1" s="4"/>
      <c r="ABT1" s="4"/>
      <c r="ABU1" s="4"/>
      <c r="ABV1" s="4"/>
      <c r="ABW1" s="4"/>
      <c r="ABX1" s="4"/>
      <c r="ABY1" s="4"/>
      <c r="ABZ1" s="4"/>
      <c r="ACA1" s="4"/>
      <c r="ACB1" s="4"/>
      <c r="ACC1" s="4"/>
      <c r="ACD1" s="4"/>
      <c r="ACE1" s="4"/>
      <c r="ACF1" s="4"/>
      <c r="ACG1" s="4"/>
      <c r="ACH1" s="4"/>
      <c r="ACI1" s="4"/>
      <c r="ACJ1" s="4"/>
      <c r="ACK1" s="4"/>
      <c r="ACL1" s="4"/>
      <c r="ACM1" s="4"/>
      <c r="ACN1" s="4"/>
      <c r="ACO1" s="4"/>
      <c r="ACP1" s="4"/>
      <c r="ACQ1" s="4"/>
      <c r="ACR1" s="4"/>
      <c r="ACS1" s="4"/>
      <c r="ACT1" s="4"/>
      <c r="ACU1" s="4"/>
      <c r="ACV1" s="4"/>
      <c r="ACW1" s="4"/>
      <c r="ACX1" s="4"/>
      <c r="ACY1" s="4"/>
      <c r="ACZ1" s="4"/>
      <c r="ADA1" s="4"/>
      <c r="ADB1" s="4"/>
      <c r="ADC1" s="4"/>
      <c r="ADD1" s="4"/>
      <c r="ADE1" s="4"/>
      <c r="ADF1" s="4"/>
      <c r="ADG1" s="4"/>
      <c r="ADH1" s="4"/>
      <c r="ADI1" s="4"/>
      <c r="ADJ1" s="4"/>
      <c r="ADK1" s="4"/>
      <c r="ADL1" s="4"/>
      <c r="ADM1" s="4"/>
      <c r="ADN1" s="4"/>
      <c r="ADO1" s="4"/>
      <c r="ADP1" s="4"/>
      <c r="ADQ1" s="4"/>
      <c r="ADR1" s="4"/>
      <c r="ADS1" s="4"/>
      <c r="ADT1" s="4"/>
      <c r="ADU1" s="4"/>
      <c r="ADV1" s="4"/>
      <c r="ADW1" s="4"/>
      <c r="ADX1" s="4"/>
      <c r="ADY1" s="4"/>
      <c r="ADZ1" s="4"/>
      <c r="AEA1" s="4"/>
      <c r="AEB1" s="4"/>
      <c r="AEC1" s="4"/>
      <c r="AED1" s="4"/>
      <c r="AEE1" s="4"/>
      <c r="AEF1" s="4"/>
      <c r="AEG1" s="4"/>
      <c r="AEH1" s="4"/>
      <c r="AEI1" s="4"/>
      <c r="AEJ1" s="4"/>
      <c r="AEK1" s="4"/>
      <c r="AEL1" s="4"/>
      <c r="AEM1" s="4"/>
      <c r="AEN1" s="4"/>
      <c r="AEO1" s="4"/>
      <c r="AEP1" s="4"/>
      <c r="AEQ1" s="4"/>
      <c r="AER1" s="4"/>
      <c r="AES1" s="4"/>
      <c r="AET1" s="4"/>
      <c r="AEU1" s="4"/>
      <c r="AEV1" s="4"/>
      <c r="AEW1" s="4"/>
      <c r="AEX1" s="4"/>
      <c r="AEY1" s="4"/>
      <c r="AEZ1" s="4"/>
      <c r="AFA1" s="4"/>
      <c r="AFB1" s="4"/>
      <c r="AFC1" s="4"/>
      <c r="AFD1" s="4"/>
      <c r="AFE1" s="4"/>
      <c r="AFF1" s="4"/>
      <c r="AFG1" s="4"/>
      <c r="AFH1" s="4"/>
      <c r="AFI1" s="4"/>
      <c r="AFJ1" s="4"/>
      <c r="AFK1" s="4"/>
      <c r="AFL1" s="4"/>
      <c r="AFM1" s="4"/>
      <c r="AFN1" s="4"/>
      <c r="AFO1" s="4"/>
      <c r="AFP1" s="4"/>
      <c r="AFQ1" s="4"/>
      <c r="AFR1" s="4"/>
      <c r="AFS1" s="4"/>
      <c r="AFT1" s="4"/>
      <c r="AFU1" s="4"/>
      <c r="AFV1" s="4"/>
      <c r="AFW1" s="4"/>
      <c r="AFX1" s="4"/>
      <c r="AFY1" s="4"/>
      <c r="AFZ1" s="4"/>
      <c r="AGA1" s="4"/>
      <c r="AGB1" s="4"/>
      <c r="AGC1" s="4"/>
      <c r="AGD1" s="4"/>
      <c r="AGE1" s="4"/>
      <c r="AGF1" s="4"/>
      <c r="AGG1" s="4"/>
      <c r="AGH1" s="4"/>
      <c r="AGI1" s="4"/>
      <c r="AGJ1" s="4"/>
      <c r="AGK1" s="4"/>
      <c r="AGL1" s="4"/>
      <c r="AGM1" s="4"/>
      <c r="AGN1" s="4"/>
      <c r="AGO1" s="4"/>
      <c r="AGP1" s="4"/>
      <c r="AGQ1" s="4"/>
      <c r="AGR1" s="4"/>
      <c r="AGS1" s="4"/>
      <c r="AGT1" s="4"/>
      <c r="AGU1" s="4"/>
      <c r="AGV1" s="4"/>
      <c r="AGW1" s="4"/>
      <c r="AGX1" s="4"/>
      <c r="AGY1" s="4"/>
      <c r="AGZ1" s="4"/>
      <c r="AHA1" s="4"/>
      <c r="AHB1" s="4"/>
      <c r="AHC1" s="4"/>
      <c r="AHD1" s="4"/>
      <c r="AHE1" s="4"/>
      <c r="AHF1" s="4"/>
      <c r="AHG1" s="4"/>
      <c r="AHH1" s="4"/>
      <c r="AHI1" s="4"/>
      <c r="AHJ1" s="4"/>
      <c r="AHK1" s="4"/>
      <c r="AHL1" s="4"/>
      <c r="AHM1" s="4"/>
      <c r="AHN1" s="4"/>
      <c r="AHO1" s="4"/>
      <c r="AHP1" s="4"/>
      <c r="AHQ1" s="4"/>
      <c r="AHR1" s="4"/>
      <c r="AHS1" s="4"/>
      <c r="AHT1" s="4"/>
      <c r="AHU1" s="4"/>
      <c r="AHV1" s="4"/>
      <c r="AHW1" s="4"/>
      <c r="AHX1" s="4"/>
      <c r="AHY1" s="4"/>
      <c r="AHZ1" s="4"/>
      <c r="AIA1" s="4"/>
      <c r="AIB1" s="4"/>
      <c r="AIC1" s="4"/>
      <c r="AID1" s="4"/>
      <c r="AIE1" s="4"/>
      <c r="AIF1" s="4"/>
      <c r="AIG1" s="4"/>
      <c r="AIH1" s="4"/>
      <c r="AII1" s="4"/>
      <c r="AIJ1" s="4"/>
      <c r="AIK1" s="4"/>
      <c r="AIL1" s="4"/>
      <c r="AIM1" s="4"/>
      <c r="AIN1" s="4"/>
      <c r="AIO1" s="4"/>
      <c r="AIP1" s="4"/>
      <c r="AIQ1" s="4"/>
      <c r="AIR1" s="4"/>
      <c r="AIS1" s="4"/>
      <c r="AIT1" s="4"/>
      <c r="AIU1" s="4"/>
      <c r="AIV1" s="4"/>
      <c r="AIW1" s="4"/>
      <c r="AIX1" s="4"/>
      <c r="AIY1" s="4"/>
      <c r="AIZ1" s="4"/>
      <c r="AJA1" s="4"/>
      <c r="AJB1" s="4"/>
      <c r="AJC1" s="4"/>
      <c r="AJD1" s="4"/>
      <c r="AJE1" s="4"/>
      <c r="AJF1" s="4"/>
      <c r="AJG1" s="4"/>
      <c r="AJH1" s="4"/>
      <c r="AJI1" s="4"/>
      <c r="AJJ1" s="4"/>
      <c r="AJK1" s="4"/>
      <c r="AJL1" s="4"/>
      <c r="AJM1" s="4"/>
      <c r="AJN1" s="4"/>
      <c r="AJO1" s="4"/>
      <c r="AJP1" s="4"/>
      <c r="AJQ1" s="4"/>
      <c r="AJR1" s="4"/>
      <c r="AJS1" s="4"/>
      <c r="AJT1" s="4"/>
      <c r="AJU1" s="4"/>
      <c r="AJV1" s="4"/>
      <c r="AJW1" s="4"/>
      <c r="AJX1" s="4"/>
      <c r="AJY1" s="4"/>
      <c r="AJZ1" s="4"/>
      <c r="AKA1" s="4"/>
      <c r="AKB1" s="4"/>
      <c r="AKC1" s="4"/>
      <c r="AKD1" s="4"/>
      <c r="AKE1" s="4"/>
      <c r="AKF1" s="4"/>
      <c r="AKG1" s="4"/>
      <c r="AKH1" s="4"/>
      <c r="AKI1" s="4"/>
      <c r="AKJ1" s="4"/>
      <c r="AKK1" s="4"/>
      <c r="AKL1" s="4"/>
      <c r="AKM1" s="4"/>
      <c r="AKN1" s="4"/>
      <c r="AKO1" s="4"/>
      <c r="AKP1" s="4"/>
      <c r="AKQ1" s="4"/>
      <c r="AKR1" s="4"/>
      <c r="AKS1" s="4"/>
      <c r="AKT1" s="4"/>
      <c r="AKU1" s="4"/>
      <c r="AKV1" s="4"/>
      <c r="AKW1" s="4"/>
      <c r="AKX1" s="4"/>
      <c r="AKY1" s="4"/>
      <c r="AKZ1" s="4"/>
      <c r="ALA1" s="4"/>
      <c r="ALB1" s="4"/>
      <c r="ALC1" s="4"/>
      <c r="ALD1" s="4"/>
      <c r="ALE1" s="4"/>
      <c r="ALF1" s="4"/>
      <c r="ALG1" s="4"/>
      <c r="ALH1" s="4"/>
      <c r="ALI1" s="4"/>
      <c r="ALJ1" s="4"/>
      <c r="ALK1" s="4"/>
      <c r="ALL1" s="4"/>
      <c r="ALM1" s="4"/>
      <c r="ALN1" s="4"/>
      <c r="ALO1" s="4"/>
      <c r="ALP1" s="4"/>
      <c r="ALQ1" s="4"/>
      <c r="ALR1" s="4"/>
      <c r="ALS1" s="4"/>
      <c r="ALT1" s="4"/>
      <c r="ALU1" s="4"/>
      <c r="ALV1" s="4"/>
      <c r="ALW1" s="4"/>
      <c r="ALX1" s="4"/>
      <c r="ALY1" s="4"/>
      <c r="ALZ1" s="4"/>
      <c r="AMA1" s="4"/>
      <c r="AMB1" s="4"/>
      <c r="AMC1" s="4"/>
      <c r="AMD1" s="4"/>
      <c r="AME1" s="4"/>
      <c r="AMF1" s="4"/>
      <c r="AMG1" s="4"/>
      <c r="AMH1" s="4"/>
      <c r="AMI1" s="4"/>
      <c r="AMJ1" s="4"/>
      <c r="AMK1" s="4"/>
    </row>
    <row r="2" customFormat="false" ht="14.4" hidden="false" customHeight="false" outlineLevel="0" collapsed="false">
      <c r="A2" s="4" t="s">
        <v>0</v>
      </c>
      <c r="B2" s="4"/>
      <c r="C2" s="4" t="s">
        <v>1</v>
      </c>
      <c r="D2" s="4"/>
      <c r="E2" s="5" t="s">
        <v>2</v>
      </c>
      <c r="F2" s="5"/>
      <c r="G2" s="5" t="s">
        <v>3</v>
      </c>
      <c r="H2" s="5" t="s">
        <v>4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  <c r="AHR2" s="4"/>
      <c r="AHS2" s="4"/>
      <c r="AHT2" s="4"/>
      <c r="AHU2" s="4"/>
      <c r="AHV2" s="4"/>
      <c r="AHW2" s="4"/>
      <c r="AHX2" s="4"/>
      <c r="AHY2" s="4"/>
      <c r="AHZ2" s="4"/>
      <c r="AIA2" s="4"/>
      <c r="AIB2" s="4"/>
      <c r="AIC2" s="4"/>
      <c r="AID2" s="4"/>
      <c r="AIE2" s="4"/>
      <c r="AIF2" s="4"/>
      <c r="AIG2" s="4"/>
      <c r="AIH2" s="4"/>
      <c r="AII2" s="4"/>
      <c r="AIJ2" s="4"/>
      <c r="AIK2" s="4"/>
      <c r="AIL2" s="4"/>
      <c r="AIM2" s="4"/>
      <c r="AIN2" s="4"/>
      <c r="AIO2" s="4"/>
      <c r="AIP2" s="4"/>
      <c r="AIQ2" s="4"/>
      <c r="AIR2" s="4"/>
      <c r="AIS2" s="4"/>
      <c r="AIT2" s="4"/>
      <c r="AIU2" s="4"/>
      <c r="AIV2" s="4"/>
      <c r="AIW2" s="4"/>
      <c r="AIX2" s="4"/>
      <c r="AIY2" s="4"/>
      <c r="AIZ2" s="4"/>
      <c r="AJA2" s="4"/>
      <c r="AJB2" s="4"/>
      <c r="AJC2" s="4"/>
      <c r="AJD2" s="4"/>
      <c r="AJE2" s="4"/>
      <c r="AJF2" s="4"/>
      <c r="AJG2" s="4"/>
      <c r="AJH2" s="4"/>
      <c r="AJI2" s="4"/>
      <c r="AJJ2" s="4"/>
      <c r="AJK2" s="4"/>
      <c r="AJL2" s="4"/>
      <c r="AJM2" s="4"/>
      <c r="AJN2" s="4"/>
      <c r="AJO2" s="4"/>
      <c r="AJP2" s="4"/>
      <c r="AJQ2" s="4"/>
      <c r="AJR2" s="4"/>
      <c r="AJS2" s="4"/>
      <c r="AJT2" s="4"/>
      <c r="AJU2" s="4"/>
      <c r="AJV2" s="4"/>
      <c r="AJW2" s="4"/>
      <c r="AJX2" s="4"/>
      <c r="AJY2" s="4"/>
      <c r="AJZ2" s="4"/>
      <c r="AKA2" s="4"/>
      <c r="AKB2" s="4"/>
      <c r="AKC2" s="4"/>
      <c r="AKD2" s="4"/>
      <c r="AKE2" s="4"/>
      <c r="AKF2" s="4"/>
      <c r="AKG2" s="4"/>
      <c r="AKH2" s="4"/>
      <c r="AKI2" s="4"/>
      <c r="AKJ2" s="4"/>
      <c r="AKK2" s="4"/>
      <c r="AKL2" s="4"/>
      <c r="AKM2" s="4"/>
      <c r="AKN2" s="4"/>
      <c r="AKO2" s="4"/>
      <c r="AKP2" s="4"/>
      <c r="AKQ2" s="4"/>
      <c r="AKR2" s="4"/>
      <c r="AKS2" s="4"/>
      <c r="AKT2" s="4"/>
      <c r="AKU2" s="4"/>
      <c r="AKV2" s="4"/>
      <c r="AKW2" s="4"/>
      <c r="AKX2" s="4"/>
      <c r="AKY2" s="4"/>
      <c r="AKZ2" s="4"/>
      <c r="ALA2" s="4"/>
      <c r="ALB2" s="4"/>
      <c r="ALC2" s="4"/>
      <c r="ALD2" s="4"/>
      <c r="ALE2" s="4"/>
      <c r="ALF2" s="4"/>
      <c r="ALG2" s="4"/>
      <c r="ALH2" s="4"/>
      <c r="ALI2" s="4"/>
      <c r="ALJ2" s="4"/>
      <c r="ALK2" s="4"/>
      <c r="ALL2" s="4"/>
      <c r="ALM2" s="4"/>
      <c r="ALN2" s="4"/>
      <c r="ALO2" s="4"/>
      <c r="ALP2" s="4"/>
      <c r="ALQ2" s="4"/>
      <c r="ALR2" s="4"/>
      <c r="ALS2" s="4"/>
      <c r="ALT2" s="4"/>
      <c r="ALU2" s="4"/>
      <c r="ALV2" s="4"/>
      <c r="ALW2" s="4"/>
      <c r="ALX2" s="4"/>
      <c r="ALY2" s="4"/>
      <c r="ALZ2" s="4"/>
      <c r="AMA2" s="4"/>
      <c r="AMB2" s="4"/>
      <c r="AMC2" s="4"/>
      <c r="AMD2" s="4"/>
      <c r="AME2" s="4"/>
      <c r="AMF2" s="4"/>
      <c r="AMG2" s="4"/>
      <c r="AMH2" s="4"/>
      <c r="AMI2" s="4"/>
      <c r="AMJ2" s="4"/>
      <c r="AMK2" s="4"/>
    </row>
    <row r="3" customFormat="false" ht="14.4" hidden="false" customHeight="false" outlineLevel="0" collapsed="false">
      <c r="B3" s="4"/>
      <c r="D3" s="4"/>
      <c r="E3" s="5"/>
      <c r="F3" s="5"/>
      <c r="G3" s="5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  <c r="AHR3" s="4"/>
      <c r="AHS3" s="4"/>
      <c r="AHT3" s="4"/>
      <c r="AHU3" s="4"/>
      <c r="AHV3" s="4"/>
      <c r="AHW3" s="4"/>
      <c r="AHX3" s="4"/>
      <c r="AHY3" s="4"/>
      <c r="AHZ3" s="4"/>
      <c r="AIA3" s="4"/>
      <c r="AIB3" s="4"/>
      <c r="AIC3" s="4"/>
      <c r="AID3" s="4"/>
      <c r="AIE3" s="4"/>
      <c r="AIF3" s="4"/>
      <c r="AIG3" s="4"/>
      <c r="AIH3" s="4"/>
      <c r="AII3" s="4"/>
      <c r="AIJ3" s="4"/>
      <c r="AIK3" s="4"/>
      <c r="AIL3" s="4"/>
      <c r="AIM3" s="4"/>
      <c r="AIN3" s="4"/>
      <c r="AIO3" s="4"/>
      <c r="AIP3" s="4"/>
      <c r="AIQ3" s="4"/>
      <c r="AIR3" s="4"/>
      <c r="AIS3" s="4"/>
      <c r="AIT3" s="4"/>
      <c r="AIU3" s="4"/>
      <c r="AIV3" s="4"/>
      <c r="AIW3" s="4"/>
      <c r="AIX3" s="4"/>
      <c r="AIY3" s="4"/>
      <c r="AIZ3" s="4"/>
      <c r="AJA3" s="4"/>
      <c r="AJB3" s="4"/>
      <c r="AJC3" s="4"/>
      <c r="AJD3" s="4"/>
      <c r="AJE3" s="4"/>
      <c r="AJF3" s="4"/>
      <c r="AJG3" s="4"/>
      <c r="AJH3" s="4"/>
      <c r="AJI3" s="4"/>
      <c r="AJJ3" s="4"/>
      <c r="AJK3" s="4"/>
      <c r="AJL3" s="4"/>
      <c r="AJM3" s="4"/>
      <c r="AJN3" s="4"/>
      <c r="AJO3" s="4"/>
      <c r="AJP3" s="4"/>
      <c r="AJQ3" s="4"/>
      <c r="AJR3" s="4"/>
      <c r="AJS3" s="4"/>
      <c r="AJT3" s="4"/>
      <c r="AJU3" s="4"/>
      <c r="AJV3" s="4"/>
      <c r="AJW3" s="4"/>
      <c r="AJX3" s="4"/>
      <c r="AJY3" s="4"/>
      <c r="AJZ3" s="4"/>
      <c r="AKA3" s="4"/>
      <c r="AKB3" s="4"/>
      <c r="AKC3" s="4"/>
      <c r="AKD3" s="4"/>
      <c r="AKE3" s="4"/>
      <c r="AKF3" s="4"/>
      <c r="AKG3" s="4"/>
      <c r="AKH3" s="4"/>
      <c r="AKI3" s="4"/>
      <c r="AKJ3" s="4"/>
      <c r="AKK3" s="4"/>
      <c r="AKL3" s="4"/>
      <c r="AKM3" s="4"/>
      <c r="AKN3" s="4"/>
      <c r="AKO3" s="4"/>
      <c r="AKP3" s="4"/>
      <c r="AKQ3" s="4"/>
      <c r="AKR3" s="4"/>
      <c r="AKS3" s="4"/>
      <c r="AKT3" s="4"/>
      <c r="AKU3" s="4"/>
      <c r="AKV3" s="4"/>
      <c r="AKW3" s="4"/>
      <c r="AKX3" s="4"/>
      <c r="AKY3" s="4"/>
      <c r="AKZ3" s="4"/>
      <c r="ALA3" s="4"/>
      <c r="ALB3" s="4"/>
      <c r="ALC3" s="4"/>
      <c r="ALD3" s="4"/>
      <c r="ALE3" s="4"/>
      <c r="ALF3" s="4"/>
      <c r="ALG3" s="4"/>
      <c r="ALH3" s="4"/>
      <c r="ALI3" s="4"/>
      <c r="ALJ3" s="4"/>
      <c r="ALK3" s="4"/>
      <c r="ALL3" s="4"/>
      <c r="ALM3" s="4"/>
      <c r="ALN3" s="4"/>
      <c r="ALO3" s="4"/>
      <c r="ALP3" s="4"/>
      <c r="ALQ3" s="4"/>
      <c r="ALR3" s="4"/>
      <c r="ALS3" s="4"/>
      <c r="ALT3" s="4"/>
      <c r="ALU3" s="4"/>
      <c r="ALV3" s="4"/>
      <c r="ALW3" s="4"/>
      <c r="ALX3" s="4"/>
      <c r="ALY3" s="4"/>
      <c r="ALZ3" s="4"/>
      <c r="AMA3" s="4"/>
      <c r="AMB3" s="4"/>
      <c r="AMC3" s="4"/>
      <c r="AMD3" s="4"/>
      <c r="AME3" s="4"/>
      <c r="AMF3" s="4"/>
      <c r="AMG3" s="4"/>
      <c r="AMH3" s="4"/>
      <c r="AMI3" s="4"/>
      <c r="AMJ3" s="4"/>
      <c r="AMK3" s="4"/>
    </row>
    <row r="4" customFormat="false" ht="14.4" hidden="false" customHeight="false" outlineLevel="0" collapsed="false">
      <c r="A4" s="4" t="s">
        <v>5</v>
      </c>
      <c r="B4" s="4" t="s">
        <v>6</v>
      </c>
      <c r="C4" s="4" t="s">
        <v>7</v>
      </c>
      <c r="D4" s="4" t="s">
        <v>8</v>
      </c>
      <c r="E4" s="5" t="s">
        <v>9</v>
      </c>
      <c r="F4" s="5" t="s">
        <v>10</v>
      </c>
      <c r="G4" s="5" t="s">
        <v>11</v>
      </c>
      <c r="H4" s="5" t="s">
        <v>12</v>
      </c>
    </row>
    <row r="5" customFormat="false" ht="14.4" hidden="false" customHeight="false" outlineLevel="0" collapsed="false">
      <c r="D5" s="1"/>
      <c r="E5" s="1"/>
      <c r="F5" s="1"/>
      <c r="H5" s="1"/>
    </row>
    <row r="6" customFormat="false" ht="12.8" hidden="false" customHeight="false" outlineLevel="0" collapsed="false">
      <c r="A6" s="6" t="n">
        <f aca="false">[1]Apr!A8</f>
        <v>42482</v>
      </c>
      <c r="B6" s="1" t="s">
        <v>13</v>
      </c>
      <c r="C6" s="7" t="s">
        <v>14</v>
      </c>
      <c r="D6" s="2" t="n">
        <v>1</v>
      </c>
      <c r="E6" s="1"/>
      <c r="F6" s="3" t="n">
        <v>1200</v>
      </c>
      <c r="H6" s="3" t="n">
        <f aca="false">SocMc!H5+F6-E6</f>
        <v>1200</v>
      </c>
    </row>
    <row r="7" customFormat="false" ht="12.8" hidden="false" customHeight="false" outlineLevel="0" collapsed="false">
      <c r="A7" s="6" t="n">
        <f aca="false">[1]May!A7</f>
        <v>42496</v>
      </c>
      <c r="B7" s="1" t="s">
        <v>13</v>
      </c>
      <c r="C7" s="8" t="s">
        <v>15</v>
      </c>
      <c r="D7" s="2" t="n">
        <v>1</v>
      </c>
      <c r="E7" s="1"/>
      <c r="F7" s="3" t="n">
        <v>1200</v>
      </c>
      <c r="H7" s="3" t="n">
        <f aca="false">SocMc!H6+F7-E7</f>
        <v>2400</v>
      </c>
    </row>
    <row r="8" customFormat="false" ht="12.8" hidden="false" customHeight="false" outlineLevel="0" collapsed="false">
      <c r="A8" s="6" t="n">
        <f aca="false">[1]May!A8</f>
        <v>42513</v>
      </c>
      <c r="B8" s="1" t="s">
        <v>13</v>
      </c>
      <c r="C8" s="7" t="s">
        <v>16</v>
      </c>
      <c r="D8" s="2" t="n">
        <v>1</v>
      </c>
      <c r="E8" s="1"/>
      <c r="F8" s="3" t="n">
        <v>2400</v>
      </c>
      <c r="H8" s="3" t="n">
        <f aca="false">SocMc!H7+F8-E8</f>
        <v>4800</v>
      </c>
    </row>
    <row r="9" customFormat="false" ht="12.8" hidden="false" customHeight="false" outlineLevel="0" collapsed="false">
      <c r="A9" s="6" t="n">
        <f aca="false">[1]Sep!A7</f>
        <v>42632</v>
      </c>
      <c r="B9" s="1" t="s">
        <v>13</v>
      </c>
      <c r="C9" s="8" t="s">
        <v>17</v>
      </c>
      <c r="D9" s="2" t="n">
        <v>1</v>
      </c>
      <c r="E9" s="1"/>
      <c r="F9" s="3" t="n">
        <v>2400</v>
      </c>
      <c r="H9" s="3" t="n">
        <f aca="false">SocMc!H8+F9-E9</f>
        <v>7200</v>
      </c>
    </row>
    <row r="10" customFormat="false" ht="12.8" hidden="false" customHeight="false" outlineLevel="0" collapsed="false">
      <c r="A10" s="6" t="n">
        <f aca="false">[1]Oct!A7</f>
        <v>42671</v>
      </c>
      <c r="B10" s="1" t="s">
        <v>18</v>
      </c>
      <c r="C10" s="7" t="s">
        <v>19</v>
      </c>
      <c r="D10" s="2" t="n">
        <v>1</v>
      </c>
      <c r="E10" s="1"/>
      <c r="F10" s="3" t="n">
        <v>450</v>
      </c>
      <c r="H10" s="3" t="n">
        <f aca="false">SocMc!H9+F10-E10</f>
        <v>7650</v>
      </c>
    </row>
    <row r="11" customFormat="false" ht="14.4" hidden="false" customHeight="false" outlineLevel="0" collapsed="false">
      <c r="A11" s="6" t="n">
        <v>42825</v>
      </c>
      <c r="B11" s="1" t="s">
        <v>20</v>
      </c>
      <c r="C11" s="1" t="s">
        <v>21</v>
      </c>
      <c r="D11" s="2" t="n">
        <v>16</v>
      </c>
      <c r="E11" s="3" t="n">
        <f aca="false">SocMc!H10</f>
        <v>7650</v>
      </c>
      <c r="H11" s="3" t="n">
        <f aca="false">SocMc!H10+F11-E11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H6" activeCellId="0" sqref="H6"/>
    </sheetView>
  </sheetViews>
  <sheetFormatPr defaultColWidth="8.6796875" defaultRowHeight="12.75" zeroHeight="false" outlineLevelRow="0" outlineLevelCol="0"/>
  <cols>
    <col collapsed="false" customWidth="true" hidden="false" outlineLevel="0" max="1" min="1" style="9" width="16.57"/>
    <col collapsed="false" customWidth="true" hidden="false" outlineLevel="0" max="2" min="2" style="9" width="10.71"/>
    <col collapsed="false" customWidth="true" hidden="false" outlineLevel="0" max="3" min="3" style="9" width="18.86"/>
    <col collapsed="false" customWidth="true" hidden="false" outlineLevel="0" max="4" min="4" style="10" width="8.86"/>
    <col collapsed="false" customWidth="true" hidden="false" outlineLevel="0" max="5" min="5" style="11" width="8.42"/>
    <col collapsed="false" customWidth="false" hidden="false" outlineLevel="0" max="6" min="6" style="11" width="8.62"/>
    <col collapsed="false" customWidth="true" hidden="false" outlineLevel="0" max="7" min="7" style="11" width="8.15"/>
    <col collapsed="false" customWidth="true" hidden="false" outlineLevel="0" max="8" min="8" style="11" width="9.57"/>
  </cols>
  <sheetData>
    <row r="1" customFormat="false" ht="12.75" hidden="false" customHeight="false" outlineLevel="0" collapsed="false">
      <c r="A1" s="12"/>
      <c r="B1" s="12"/>
      <c r="C1" s="12"/>
      <c r="D1" s="12"/>
      <c r="E1" s="13"/>
      <c r="F1" s="13"/>
      <c r="G1" s="13"/>
      <c r="H1" s="13"/>
    </row>
    <row r="2" customFormat="false" ht="12.75" hidden="false" customHeight="false" outlineLevel="0" collapsed="false">
      <c r="A2" s="14" t="s">
        <v>22</v>
      </c>
      <c r="B2" s="12"/>
      <c r="C2" s="12" t="s">
        <v>23</v>
      </c>
      <c r="D2" s="12"/>
      <c r="E2" s="13" t="s">
        <v>2</v>
      </c>
      <c r="F2" s="13"/>
      <c r="G2" s="13" t="s">
        <v>3</v>
      </c>
      <c r="H2" s="13" t="s">
        <v>24</v>
      </c>
    </row>
    <row r="3" customFormat="false" ht="12.75" hidden="false" customHeight="false" outlineLevel="0" collapsed="false">
      <c r="A3" s="12"/>
      <c r="B3" s="12"/>
      <c r="C3" s="12"/>
      <c r="D3" s="12"/>
      <c r="E3" s="13"/>
      <c r="F3" s="13"/>
      <c r="G3" s="13"/>
      <c r="H3" s="13"/>
    </row>
    <row r="4" customFormat="false" ht="12.75" hidden="false" customHeight="false" outlineLevel="0" collapsed="false">
      <c r="A4" s="12" t="s">
        <v>5</v>
      </c>
      <c r="B4" s="12" t="s">
        <v>6</v>
      </c>
      <c r="C4" s="12" t="s">
        <v>7</v>
      </c>
      <c r="D4" s="12" t="s">
        <v>8</v>
      </c>
      <c r="E4" s="13" t="s">
        <v>9</v>
      </c>
      <c r="F4" s="13" t="s">
        <v>10</v>
      </c>
      <c r="G4" s="13" t="s">
        <v>11</v>
      </c>
      <c r="H4" s="13" t="s">
        <v>12</v>
      </c>
    </row>
    <row r="6" customFormat="false" ht="12.75" hidden="false" customHeight="false" outlineLevel="0" collapsed="false">
      <c r="A6" s="15" t="n">
        <v>44652</v>
      </c>
      <c r="B6" s="9" t="s">
        <v>25</v>
      </c>
      <c r="C6" s="9" t="s">
        <v>26</v>
      </c>
      <c r="E6" s="11" t="n">
        <v>1359.43</v>
      </c>
      <c r="H6" s="11" t="n">
        <f aca="false">Inst!H5-F6+E6</f>
        <v>1359.43</v>
      </c>
    </row>
    <row r="7" customFormat="false" ht="23.85" hidden="false" customHeight="false" outlineLevel="0" collapsed="false">
      <c r="A7" s="16" t="n">
        <v>44653</v>
      </c>
      <c r="B7" s="9" t="s">
        <v>23</v>
      </c>
      <c r="C7" s="9" t="n">
        <v>0</v>
      </c>
      <c r="D7" s="10" t="n">
        <v>1</v>
      </c>
      <c r="E7" s="11" t="n">
        <v>0</v>
      </c>
      <c r="H7" s="11" t="n">
        <f aca="false">Inst!H6-F7+E7</f>
        <v>1359.43</v>
      </c>
    </row>
    <row r="8" customFormat="false" ht="23.85" hidden="false" customHeight="false" outlineLevel="0" collapsed="false">
      <c r="A8" s="15" t="n">
        <v>45016</v>
      </c>
      <c r="B8" s="9" t="s">
        <v>27</v>
      </c>
      <c r="C8" s="9" t="s">
        <v>28</v>
      </c>
      <c r="F8" s="11" t="n">
        <f aca="false">(Inst!H7-Inst!H7)*0.075</f>
        <v>0</v>
      </c>
      <c r="H8" s="11" t="n">
        <f aca="false">Inst!H7-F8+E8</f>
        <v>1359.43</v>
      </c>
    </row>
    <row r="9" customFormat="false" ht="46.25" hidden="false" customHeight="false" outlineLevel="0" collapsed="false">
      <c r="A9" s="15" t="n">
        <v>45016</v>
      </c>
      <c r="B9" s="9" t="s">
        <v>27</v>
      </c>
      <c r="C9" s="9" t="s">
        <v>29</v>
      </c>
      <c r="F9" s="11" t="n">
        <f aca="false">H8*0.15</f>
        <v>203.9145</v>
      </c>
      <c r="H9" s="11" t="n">
        <f aca="false">Inst!H8-F9+E9</f>
        <v>1155.5155</v>
      </c>
    </row>
    <row r="10" customFormat="false" ht="13.8" hidden="false" customHeight="false" outlineLevel="0" collapsed="false">
      <c r="A10" s="15" t="n">
        <v>45016</v>
      </c>
      <c r="B10" s="9" t="s">
        <v>30</v>
      </c>
      <c r="C10" s="9" t="s">
        <v>21</v>
      </c>
      <c r="D10" s="10" t="n">
        <v>7</v>
      </c>
      <c r="F10" s="11" t="n">
        <f aca="false">H9</f>
        <v>1155.5155</v>
      </c>
      <c r="H10" s="11" t="n">
        <f aca="false">Inst!H9-F10+E10</f>
        <v>0</v>
      </c>
    </row>
    <row r="11" customFormat="false" ht="13.8" hidden="false" customHeight="false" outlineLevel="0" collapsed="false"/>
    <row r="12" customFormat="false" ht="35.05" hidden="false" customHeight="false" outlineLevel="0" collapsed="false"/>
    <row r="13" customFormat="false" ht="13.8" hidden="false" customHeight="false" outlineLevel="0" collapsed="false"/>
    <row r="14" customFormat="false" ht="46.25" hidden="false" customHeight="false" outlineLevel="0" collapsed="false"/>
    <row r="15" customFormat="false" ht="81.3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36.55" hidden="false" customHeight="false" outlineLevel="0" collapsed="false"/>
    <row r="19" customFormat="false" ht="13.8" hidden="false" customHeight="false" outlineLevel="0" collapsed="false"/>
    <row r="20" customFormat="false" ht="35.05" hidden="false" customHeight="false" outlineLevel="0" collapsed="false"/>
    <row r="21" customFormat="false" ht="23.85" hidden="false" customHeight="false" outlineLevel="0" collapsed="false"/>
    <row r="22" customFormat="false" ht="35.05" hidden="false" customHeight="false" outlineLevel="0" collapsed="false"/>
    <row r="23" customFormat="false" ht="46.25" hidden="false" customHeight="false" outlineLevel="0" collapsed="false"/>
    <row r="24" customFormat="false" ht="46.25" hidden="false" customHeight="false" outlineLevel="0" collapsed="false"/>
    <row r="25" customFormat="false" ht="46.25" hidden="false" customHeight="false" outlineLevel="0" collapsed="false"/>
    <row r="26" customFormat="false" ht="13.8" hidden="false" customHeight="false" outlineLevel="0" collapsed="false"/>
    <row r="27" customFormat="false" ht="68.65" hidden="false" customHeight="false" outlineLevel="0" collapsed="false"/>
    <row r="28" customFormat="false" ht="68.65" hidden="false" customHeight="false" outlineLevel="0" collapsed="false"/>
    <row r="29" customFormat="false" ht="46.25" hidden="false" customHeight="false" outlineLevel="0" collapsed="false"/>
    <row r="30" customFormat="false" ht="23.85" hidden="false" customHeight="false" outlineLevel="0" collapsed="false"/>
    <row r="31" customFormat="false" ht="35.05" hidden="false" customHeight="false" outlineLevel="0" collapsed="false"/>
    <row r="32" customFormat="false" ht="35.05" hidden="false" customHeight="false" outlineLevel="0" collapsed="false"/>
    <row r="33" customFormat="false" ht="35.05" hidden="false" customHeight="false" outlineLevel="0" collapsed="false"/>
    <row r="34" customFormat="false" ht="23.85" hidden="false" customHeight="false" outlineLevel="0" collapsed="false"/>
    <row r="35" customFormat="false" ht="35.05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23.85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3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false" hidden="false" outlineLevel="0" max="8" min="1" style="17" width="11.53"/>
  </cols>
  <sheetData>
    <row r="2" customFormat="false" ht="12.8" hidden="false" customHeight="false" outlineLevel="0" collapsed="false">
      <c r="A2" s="14" t="s">
        <v>22</v>
      </c>
      <c r="B2" s="12"/>
      <c r="C2" s="12" t="s">
        <v>31</v>
      </c>
      <c r="D2" s="12"/>
      <c r="E2" s="13" t="s">
        <v>2</v>
      </c>
      <c r="F2" s="13"/>
      <c r="G2" s="13" t="s">
        <v>3</v>
      </c>
      <c r="H2" s="13" t="s">
        <v>24</v>
      </c>
    </row>
    <row r="3" customFormat="false" ht="12.8" hidden="false" customHeight="false" outlineLevel="0" collapsed="false">
      <c r="A3" s="12"/>
      <c r="B3" s="12"/>
      <c r="C3" s="12"/>
      <c r="D3" s="12"/>
      <c r="E3" s="13"/>
      <c r="F3" s="13"/>
      <c r="G3" s="13"/>
      <c r="H3" s="13"/>
    </row>
    <row r="4" customFormat="false" ht="12.8" hidden="false" customHeight="false" outlineLevel="0" collapsed="false">
      <c r="A4" s="12" t="s">
        <v>5</v>
      </c>
      <c r="B4" s="12" t="s">
        <v>6</v>
      </c>
      <c r="C4" s="12" t="s">
        <v>7</v>
      </c>
      <c r="D4" s="12" t="s">
        <v>32</v>
      </c>
      <c r="E4" s="13" t="s">
        <v>9</v>
      </c>
      <c r="F4" s="13" t="s">
        <v>10</v>
      </c>
      <c r="G4" s="13" t="s">
        <v>11</v>
      </c>
      <c r="H4" s="13" t="s">
        <v>12</v>
      </c>
    </row>
    <row r="5" customFormat="false" ht="12.8" hidden="false" customHeight="false" outlineLevel="0" collapsed="false">
      <c r="D5" s="10"/>
      <c r="E5" s="18"/>
      <c r="F5" s="18"/>
      <c r="G5" s="18"/>
      <c r="H5" s="18"/>
    </row>
    <row r="6" customFormat="false" ht="12.8" hidden="false" customHeight="false" outlineLevel="0" collapsed="false">
      <c r="A6" s="15" t="n">
        <v>45016</v>
      </c>
      <c r="B6" s="17" t="s">
        <v>23</v>
      </c>
      <c r="C6" s="17" t="s">
        <v>33</v>
      </c>
      <c r="D6" s="10" t="n">
        <v>5</v>
      </c>
      <c r="E6" s="18" t="e">
        <f aca="false">[2]Inst!F8</f>
        <v>#N/A</v>
      </c>
      <c r="F6" s="18"/>
      <c r="G6" s="18"/>
      <c r="H6" s="18" t="e">
        <f aca="false">H5+E6-F6</f>
        <v>#N/A</v>
      </c>
    </row>
    <row r="7" customFormat="false" ht="23.85" hidden="false" customHeight="false" outlineLevel="0" collapsed="false">
      <c r="A7" s="15" t="n">
        <v>45016</v>
      </c>
      <c r="B7" s="17" t="s">
        <v>23</v>
      </c>
      <c r="C7" s="17" t="s">
        <v>34</v>
      </c>
      <c r="D7" s="10" t="n">
        <v>5</v>
      </c>
      <c r="E7" s="18" t="e">
        <f aca="false">[2]Inst!F9</f>
        <v>#N/A</v>
      </c>
      <c r="F7" s="18"/>
      <c r="G7" s="18"/>
      <c r="H7" s="18" t="e">
        <f aca="false">H6+E7-F7</f>
        <v>#N/A</v>
      </c>
    </row>
    <row r="8" customFormat="false" ht="23.85" hidden="false" customHeight="false" outlineLevel="0" collapsed="false">
      <c r="A8" s="15" t="n">
        <v>45016</v>
      </c>
      <c r="B8" s="17" t="s">
        <v>20</v>
      </c>
      <c r="C8" s="17" t="s">
        <v>21</v>
      </c>
      <c r="D8" s="10" t="n">
        <v>14</v>
      </c>
      <c r="E8" s="18"/>
      <c r="F8" s="18" t="e">
        <f aca="false">H7</f>
        <v>#N/A</v>
      </c>
      <c r="G8" s="18"/>
      <c r="H8" s="18" t="e">
        <f aca="false">H7+E8-F8</f>
        <v>#N/A</v>
      </c>
    </row>
    <row r="9" customFormat="false" ht="46.25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35.05" hidden="false" customHeight="false" outlineLevel="0" collapsed="false"/>
    <row r="13" customFormat="false" ht="13.8" hidden="false" customHeight="false" outlineLevel="0" collapsed="false"/>
    <row r="14" customFormat="false" ht="46.25" hidden="false" customHeight="false" outlineLevel="0" collapsed="false"/>
    <row r="15" customFormat="false" ht="81.3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36.55" hidden="false" customHeight="false" outlineLevel="0" collapsed="false"/>
    <row r="19" customFormat="false" ht="13.8" hidden="false" customHeight="false" outlineLevel="0" collapsed="false"/>
    <row r="20" customFormat="false" ht="35.05" hidden="false" customHeight="false" outlineLevel="0" collapsed="false"/>
    <row r="21" customFormat="false" ht="23.85" hidden="false" customHeight="false" outlineLevel="0" collapsed="false"/>
    <row r="22" customFormat="false" ht="35.05" hidden="false" customHeight="false" outlineLevel="0" collapsed="false"/>
    <row r="23" customFormat="false" ht="46.25" hidden="false" customHeight="false" outlineLevel="0" collapsed="false"/>
    <row r="24" customFormat="false" ht="46.25" hidden="false" customHeight="false" outlineLevel="0" collapsed="false"/>
    <row r="25" customFormat="false" ht="46.25" hidden="false" customHeight="false" outlineLevel="0" collapsed="false"/>
    <row r="26" customFormat="false" ht="13.8" hidden="false" customHeight="false" outlineLevel="0" collapsed="false"/>
    <row r="27" customFormat="false" ht="68.65" hidden="false" customHeight="false" outlineLevel="0" collapsed="false"/>
    <row r="28" customFormat="false" ht="68.65" hidden="false" customHeight="false" outlineLevel="0" collapsed="false"/>
    <row r="29" customFormat="false" ht="46.25" hidden="false" customHeight="false" outlineLevel="0" collapsed="false"/>
    <row r="30" customFormat="false" ht="23.85" hidden="false" customHeight="false" outlineLevel="0" collapsed="false"/>
    <row r="31" customFormat="false" ht="35.05" hidden="false" customHeight="false" outlineLevel="0" collapsed="false"/>
    <row r="32" customFormat="false" ht="35.05" hidden="false" customHeight="false" outlineLevel="0" collapsed="false"/>
    <row r="33" customFormat="false" ht="35.05" hidden="false" customHeight="false" outlineLevel="0" collapsed="false"/>
    <row r="34" customFormat="false" ht="23.85" hidden="false" customHeight="false" outlineLevel="0" collapsed="false"/>
    <row r="35" customFormat="false" ht="35.05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23.85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8.6796875" defaultRowHeight="12.8" zeroHeight="false" outlineLevelRow="0" outlineLevelCol="0"/>
  <cols>
    <col collapsed="false" customWidth="true" hidden="false" outlineLevel="0" max="1" min="1" style="17" width="16.09"/>
    <col collapsed="false" customWidth="true" hidden="false" outlineLevel="0" max="2" min="2" style="17" width="9.54"/>
    <col collapsed="false" customWidth="true" hidden="false" outlineLevel="0" max="3" min="3" style="17" width="27.27"/>
    <col collapsed="false" customWidth="true" hidden="false" outlineLevel="0" max="4" min="4" style="10" width="17.8"/>
    <col collapsed="false" customWidth="true" hidden="false" outlineLevel="0" max="5" min="5" style="18" width="10.45"/>
    <col collapsed="false" customWidth="true" hidden="false" outlineLevel="0" max="6" min="6" style="18" width="15.02"/>
    <col collapsed="false" customWidth="true" hidden="false" outlineLevel="0" max="7" min="7" style="18" width="8.18"/>
    <col collapsed="false" customWidth="true" hidden="false" outlineLevel="0" max="8" min="8" style="18" width="10.45"/>
  </cols>
  <sheetData>
    <row r="1" customFormat="false" ht="12.8" hidden="false" customHeight="false" outlineLevel="0" collapsed="false">
      <c r="A1" s="12"/>
      <c r="B1" s="12"/>
      <c r="C1" s="12"/>
      <c r="D1" s="12"/>
      <c r="E1" s="13"/>
      <c r="F1" s="13"/>
      <c r="G1" s="13"/>
      <c r="H1" s="13"/>
    </row>
    <row r="2" customFormat="false" ht="12.8" hidden="false" customHeight="false" outlineLevel="0" collapsed="false">
      <c r="A2" s="14" t="s">
        <v>22</v>
      </c>
      <c r="B2" s="12"/>
      <c r="C2" s="12" t="s">
        <v>35</v>
      </c>
      <c r="D2" s="12"/>
      <c r="E2" s="13" t="s">
        <v>2</v>
      </c>
      <c r="F2" s="13"/>
      <c r="G2" s="13" t="s">
        <v>3</v>
      </c>
      <c r="H2" s="13" t="s">
        <v>24</v>
      </c>
    </row>
    <row r="3" customFormat="false" ht="12.8" hidden="false" customHeight="false" outlineLevel="0" collapsed="false">
      <c r="A3" s="12"/>
      <c r="B3" s="12"/>
      <c r="C3" s="12"/>
      <c r="D3" s="12"/>
      <c r="E3" s="13"/>
      <c r="F3" s="13"/>
      <c r="G3" s="13"/>
      <c r="H3" s="13"/>
    </row>
    <row r="4" customFormat="false" ht="12.8" hidden="false" customHeight="false" outlineLevel="0" collapsed="false">
      <c r="A4" s="12" t="s">
        <v>5</v>
      </c>
      <c r="B4" s="12" t="s">
        <v>6</v>
      </c>
      <c r="C4" s="12" t="s">
        <v>7</v>
      </c>
      <c r="D4" s="12" t="s">
        <v>32</v>
      </c>
      <c r="E4" s="13" t="s">
        <v>9</v>
      </c>
      <c r="F4" s="13" t="s">
        <v>10</v>
      </c>
      <c r="G4" s="13" t="s">
        <v>11</v>
      </c>
      <c r="H4" s="13" t="s">
        <v>12</v>
      </c>
    </row>
    <row r="6" customFormat="false" ht="12.8" hidden="false" customHeight="false" outlineLevel="0" collapsed="false">
      <c r="A6" s="15" t="n">
        <v>45382</v>
      </c>
      <c r="B6" s="17" t="s">
        <v>27</v>
      </c>
      <c r="C6" s="17" t="s">
        <v>31</v>
      </c>
      <c r="D6" s="10" t="n">
        <v>13</v>
      </c>
      <c r="E6" s="18" t="e">
        <f aca="false">[2]Dep!F8</f>
        <v>#N/A</v>
      </c>
      <c r="H6" s="18" t="e">
        <f aca="false">H5+F6-E6</f>
        <v>#N/A</v>
      </c>
    </row>
    <row r="7" customFormat="false" ht="23.85" hidden="false" customHeight="false" outlineLevel="0" collapsed="false">
      <c r="A7" s="15" t="n">
        <v>45382</v>
      </c>
      <c r="B7" s="17" t="s">
        <v>36</v>
      </c>
      <c r="C7" s="17" t="s">
        <v>36</v>
      </c>
      <c r="D7" s="10" t="n">
        <v>9</v>
      </c>
      <c r="E7" s="18" t="e">
        <f aca="false">[2]Salary!F30</f>
        <v>#N/A</v>
      </c>
      <c r="H7" s="18" t="e">
        <f aca="false">H6+F7-E7</f>
        <v>#N/A</v>
      </c>
    </row>
    <row r="8" customFormat="false" ht="23.85" hidden="false" customHeight="false" outlineLevel="0" collapsed="false">
      <c r="A8" s="15" t="n">
        <v>45382</v>
      </c>
      <c r="B8" s="17" t="s">
        <v>37</v>
      </c>
      <c r="C8" s="17" t="s">
        <v>38</v>
      </c>
      <c r="D8" s="10" t="n">
        <v>6</v>
      </c>
      <c r="E8" s="18" t="e">
        <f aca="false">[2]misc!F7</f>
        <v>#N/A</v>
      </c>
      <c r="H8" s="18" t="e">
        <f aca="false">H7+F8-E8</f>
        <v>#N/A</v>
      </c>
    </row>
    <row r="9" customFormat="false" ht="46.25" hidden="false" customHeight="false" outlineLevel="0" collapsed="false">
      <c r="A9" s="15" t="n">
        <v>45382</v>
      </c>
      <c r="B9" s="17" t="s">
        <v>39</v>
      </c>
      <c r="C9" s="17" t="s">
        <v>40</v>
      </c>
      <c r="D9" s="10" t="n">
        <v>11</v>
      </c>
      <c r="E9" s="18" t="e">
        <f aca="false">[2]vehexp!F25</f>
        <v>#N/A</v>
      </c>
      <c r="H9" s="18" t="e">
        <f aca="false">H8+F9-E9</f>
        <v>#N/A</v>
      </c>
    </row>
    <row r="10" customFormat="false" ht="13.8" hidden="false" customHeight="false" outlineLevel="0" collapsed="false">
      <c r="A10" s="15" t="n">
        <v>45382</v>
      </c>
      <c r="B10" s="17" t="s">
        <v>41</v>
      </c>
      <c r="C10" s="17" t="s">
        <v>41</v>
      </c>
      <c r="D10" s="10" t="n">
        <v>8</v>
      </c>
      <c r="F10" s="18" t="e">
        <f aca="false">[2]Pt!E23</f>
        <v>#N/A</v>
      </c>
      <c r="H10" s="18" t="e">
        <f aca="false">H9+F10-E10</f>
        <v>#N/A</v>
      </c>
    </row>
    <row r="11" customFormat="false" ht="13.8" hidden="false" customHeight="false" outlineLevel="0" collapsed="false">
      <c r="A11" s="15" t="n">
        <v>45382</v>
      </c>
      <c r="B11" s="17" t="s">
        <v>42</v>
      </c>
      <c r="C11" s="17" t="s">
        <v>43</v>
      </c>
      <c r="D11" s="10" t="n">
        <v>5</v>
      </c>
      <c r="F11" s="18" t="e">
        <f aca="false">[2]MedCon!E10</f>
        <v>#N/A</v>
      </c>
      <c r="H11" s="18" t="e">
        <f aca="false">H10+F11-E11</f>
        <v>#N/A</v>
      </c>
    </row>
    <row r="12" customFormat="false" ht="35.05" hidden="false" customHeight="false" outlineLevel="0" collapsed="false">
      <c r="A12" s="15" t="n">
        <v>45382</v>
      </c>
      <c r="B12" s="17" t="s">
        <v>44</v>
      </c>
      <c r="C12" s="17" t="s">
        <v>21</v>
      </c>
      <c r="D12" s="10" t="n">
        <v>15</v>
      </c>
      <c r="E12" s="18" t="e">
        <f aca="false">InExp!H11</f>
        <v>#N/A</v>
      </c>
      <c r="H12" s="18" t="e">
        <f aca="false">InExp!H11+F12-E12</f>
        <v>#N/A</v>
      </c>
    </row>
    <row r="13" customFormat="false" ht="13.8" hidden="false" customHeight="false" outlineLevel="0" collapsed="false"/>
    <row r="14" customFormat="false" ht="46.25" hidden="false" customHeight="false" outlineLevel="0" collapsed="false">
      <c r="D14" s="19" t="s">
        <v>45</v>
      </c>
      <c r="E14" s="18" t="e">
        <f aca="false">SUM(E6:E11)</f>
        <v>#N/A</v>
      </c>
      <c r="F14" s="18" t="e">
        <f aca="false">SUM(F6:F11)</f>
        <v>#N/A</v>
      </c>
      <c r="G14" s="20" t="s">
        <v>46</v>
      </c>
    </row>
    <row r="15" customFormat="false" ht="81.3" hidden="false" customHeight="false" outlineLevel="0" collapsed="false"/>
    <row r="16" customFormat="false" ht="13.8" hidden="false" customHeight="false" outlineLevel="0" collapsed="false">
      <c r="D16" s="12" t="s">
        <v>47</v>
      </c>
      <c r="E16" s="20" t="e">
        <f aca="false">E12/F14</f>
        <v>#N/A</v>
      </c>
    </row>
    <row r="17" customFormat="false" ht="13.8" hidden="false" customHeight="false" outlineLevel="0" collapsed="false"/>
    <row r="18" customFormat="false" ht="36.55" hidden="false" customHeight="false" outlineLevel="0" collapsed="false"/>
    <row r="19" customFormat="false" ht="13.8" hidden="false" customHeight="false" outlineLevel="0" collapsed="false"/>
    <row r="20" customFormat="false" ht="35.05" hidden="false" customHeight="false" outlineLevel="0" collapsed="false"/>
    <row r="21" customFormat="false" ht="23.85" hidden="false" customHeight="false" outlineLevel="0" collapsed="false"/>
    <row r="22" customFormat="false" ht="35.05" hidden="false" customHeight="false" outlineLevel="0" collapsed="false"/>
    <row r="23" customFormat="false" ht="46.25" hidden="false" customHeight="false" outlineLevel="0" collapsed="false"/>
    <row r="24" customFormat="false" ht="46.25" hidden="false" customHeight="false" outlineLevel="0" collapsed="false"/>
    <row r="25" customFormat="false" ht="46.25" hidden="false" customHeight="false" outlineLevel="0" collapsed="false"/>
    <row r="26" customFormat="false" ht="13.8" hidden="false" customHeight="false" outlineLevel="0" collapsed="false"/>
    <row r="27" customFormat="false" ht="68.65" hidden="false" customHeight="false" outlineLevel="0" collapsed="false"/>
    <row r="28" customFormat="false" ht="68.65" hidden="false" customHeight="false" outlineLevel="0" collapsed="false"/>
    <row r="29" customFormat="false" ht="46.25" hidden="false" customHeight="false" outlineLevel="0" collapsed="false"/>
    <row r="30" customFormat="false" ht="23.85" hidden="false" customHeight="false" outlineLevel="0" collapsed="false"/>
    <row r="31" customFormat="false" ht="35.05" hidden="false" customHeight="false" outlineLevel="0" collapsed="false"/>
    <row r="32" customFormat="false" ht="35.05" hidden="false" customHeight="false" outlineLevel="0" collapsed="false"/>
    <row r="33" customFormat="false" ht="35.05" hidden="false" customHeight="false" outlineLevel="0" collapsed="false"/>
    <row r="34" customFormat="false" ht="23.85" hidden="false" customHeight="false" outlineLevel="0" collapsed="false"/>
    <row r="35" customFormat="false" ht="35.05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23.85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8.6796875" defaultRowHeight="12.8" zeroHeight="false" outlineLevelRow="0" outlineLevelCol="0"/>
  <cols>
    <col collapsed="false" customWidth="true" hidden="false" outlineLevel="0" max="1" min="1" style="17" width="16.09"/>
    <col collapsed="false" customWidth="true" hidden="false" outlineLevel="0" max="2" min="2" style="17" width="9.91"/>
    <col collapsed="false" customWidth="true" hidden="false" outlineLevel="0" max="3" min="3" style="17" width="20.54"/>
    <col collapsed="false" customWidth="true" hidden="false" outlineLevel="0" max="4" min="4" style="10" width="18.35"/>
    <col collapsed="false" customWidth="true" hidden="false" outlineLevel="0" max="6" min="5" style="18" width="10.45"/>
    <col collapsed="false" customWidth="true" hidden="false" outlineLevel="0" max="7" min="7" style="18" width="8.18"/>
    <col collapsed="false" customWidth="true" hidden="false" outlineLevel="0" max="8" min="8" style="18" width="10.45"/>
    <col collapsed="false" customWidth="true" hidden="false" outlineLevel="0" max="9" min="9" style="17" width="13.9"/>
  </cols>
  <sheetData>
    <row r="1" customFormat="false" ht="12.8" hidden="false" customHeight="false" outlineLevel="0" collapsed="false">
      <c r="A1" s="12"/>
      <c r="B1" s="12"/>
      <c r="C1" s="12"/>
      <c r="D1" s="12"/>
      <c r="E1" s="13"/>
      <c r="F1" s="13"/>
      <c r="G1" s="13"/>
      <c r="H1" s="13"/>
      <c r="I1" s="12"/>
    </row>
    <row r="2" customFormat="false" ht="12.8" hidden="false" customHeight="false" outlineLevel="0" collapsed="false">
      <c r="A2" s="14" t="s">
        <v>22</v>
      </c>
      <c r="B2" s="12"/>
      <c r="C2" s="12" t="s">
        <v>48</v>
      </c>
      <c r="D2" s="12"/>
      <c r="E2" s="13" t="s">
        <v>2</v>
      </c>
      <c r="F2" s="13"/>
      <c r="G2" s="13" t="s">
        <v>3</v>
      </c>
      <c r="H2" s="13" t="s">
        <v>24</v>
      </c>
      <c r="I2" s="12"/>
    </row>
    <row r="3" customFormat="false" ht="12.8" hidden="false" customHeight="false" outlineLevel="0" collapsed="false">
      <c r="A3" s="12"/>
      <c r="B3" s="12"/>
      <c r="C3" s="12"/>
      <c r="D3" s="12"/>
      <c r="E3" s="13"/>
      <c r="F3" s="13"/>
      <c r="G3" s="13"/>
      <c r="H3" s="13"/>
      <c r="I3" s="12"/>
    </row>
    <row r="4" customFormat="false" ht="12.8" hidden="false" customHeight="false" outlineLevel="0" collapsed="false">
      <c r="A4" s="12" t="s">
        <v>5</v>
      </c>
      <c r="B4" s="12" t="s">
        <v>6</v>
      </c>
      <c r="C4" s="12" t="s">
        <v>7</v>
      </c>
      <c r="D4" s="12" t="s">
        <v>32</v>
      </c>
      <c r="E4" s="13" t="s">
        <v>9</v>
      </c>
      <c r="F4" s="13" t="s">
        <v>10</v>
      </c>
      <c r="G4" s="13" t="s">
        <v>11</v>
      </c>
      <c r="H4" s="13" t="s">
        <v>12</v>
      </c>
      <c r="I4" s="12"/>
    </row>
    <row r="6" customFormat="false" ht="12.8" hidden="false" customHeight="false" outlineLevel="0" collapsed="false">
      <c r="A6" s="15" t="n">
        <v>45017</v>
      </c>
      <c r="B6" s="17" t="s">
        <v>25</v>
      </c>
      <c r="C6" s="17" t="s">
        <v>26</v>
      </c>
      <c r="F6" s="18" t="n">
        <v>194170.34574125</v>
      </c>
      <c r="H6" s="18" t="n">
        <f aca="false">CapAc!H5+F6-E6</f>
        <v>194170.34574125</v>
      </c>
    </row>
    <row r="7" customFormat="false" ht="23.85" hidden="false" customHeight="false" outlineLevel="0" collapsed="false">
      <c r="A7" s="15" t="n">
        <v>45382</v>
      </c>
      <c r="B7" s="17" t="s">
        <v>20</v>
      </c>
      <c r="C7" s="17" t="s">
        <v>49</v>
      </c>
      <c r="D7" s="10" t="n">
        <v>12</v>
      </c>
      <c r="F7" s="18" t="e">
        <f aca="false">[2]InExp!E12</f>
        <v>#N/A</v>
      </c>
      <c r="H7" s="18" t="e">
        <f aca="false">CapAc!H6+F7-E7</f>
        <v>#N/A</v>
      </c>
    </row>
    <row r="8" customFormat="false" ht="23.85" hidden="false" customHeight="false" outlineLevel="0" collapsed="false">
      <c r="A8" s="15" t="n">
        <v>45382</v>
      </c>
      <c r="B8" s="17" t="s">
        <v>50</v>
      </c>
      <c r="C8" s="17" t="s">
        <v>50</v>
      </c>
      <c r="D8" s="10" t="n">
        <v>10</v>
      </c>
      <c r="E8" s="18" t="e">
        <f aca="false">[2]TDStoIT!F24</f>
        <v>#N/A</v>
      </c>
      <c r="H8" s="18" t="e">
        <f aca="false">CapAc!H7+F8-E8</f>
        <v>#N/A</v>
      </c>
    </row>
    <row r="9" customFormat="false" ht="46.25" hidden="false" customHeight="false" outlineLevel="0" collapsed="false">
      <c r="A9" s="15" t="n">
        <v>45382</v>
      </c>
      <c r="B9" s="17" t="s">
        <v>51</v>
      </c>
      <c r="C9" s="17" t="s">
        <v>21</v>
      </c>
      <c r="D9" s="10" t="n">
        <v>14</v>
      </c>
      <c r="E9" s="18" t="e">
        <f aca="false">CapAc!H8</f>
        <v>#N/A</v>
      </c>
      <c r="H9" s="18" t="e">
        <f aca="false">CapAc!H8+F9-E9</f>
        <v>#N/A</v>
      </c>
    </row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35.05" hidden="false" customHeight="false" outlineLevel="0" collapsed="false">
      <c r="A12" s="19"/>
      <c r="B12" s="19"/>
      <c r="C12" s="19"/>
      <c r="D12" s="12"/>
      <c r="E12" s="20"/>
      <c r="F12" s="20"/>
      <c r="G12" s="20"/>
      <c r="H12" s="20"/>
      <c r="I12" s="19"/>
    </row>
    <row r="13" customFormat="false" ht="13.8" hidden="false" customHeight="false" outlineLevel="0" collapsed="false">
      <c r="A13" s="19"/>
      <c r="B13" s="19"/>
      <c r="C13" s="19"/>
      <c r="D13" s="12"/>
      <c r="E13" s="20"/>
      <c r="F13" s="20"/>
      <c r="G13" s="20"/>
      <c r="H13" s="20"/>
      <c r="I13" s="19"/>
    </row>
    <row r="14" customFormat="false" ht="46.25" hidden="false" customHeight="false" outlineLevel="0" collapsed="false">
      <c r="A14" s="19"/>
      <c r="B14" s="19"/>
      <c r="C14" s="19"/>
      <c r="D14" s="12"/>
      <c r="E14" s="20"/>
      <c r="F14" s="20"/>
      <c r="G14" s="20"/>
      <c r="H14" s="20"/>
      <c r="I14" s="19"/>
    </row>
    <row r="15" customFormat="false" ht="81.3" hidden="false" customHeight="false" outlineLevel="0" collapsed="false">
      <c r="A15" s="21"/>
      <c r="B15" s="22"/>
      <c r="C15" s="21"/>
      <c r="D15" s="23"/>
      <c r="E15" s="11"/>
      <c r="F15" s="24"/>
      <c r="G15" s="25"/>
      <c r="H15" s="25"/>
      <c r="I15" s="21"/>
    </row>
    <row r="16" customFormat="false" ht="13.8" hidden="false" customHeight="false" outlineLevel="0" collapsed="false">
      <c r="A16" s="9"/>
      <c r="B16" s="19"/>
      <c r="C16" s="9"/>
      <c r="E16" s="11"/>
      <c r="F16" s="20"/>
      <c r="G16" s="11"/>
      <c r="H16" s="11"/>
      <c r="I16" s="9"/>
    </row>
    <row r="17" customFormat="false" ht="13.8" hidden="false" customHeight="false" outlineLevel="0" collapsed="false">
      <c r="A17" s="15"/>
      <c r="B17" s="9"/>
      <c r="C17" s="9"/>
      <c r="D17" s="26"/>
      <c r="E17" s="11"/>
      <c r="F17" s="11"/>
      <c r="G17" s="11"/>
      <c r="H17" s="11"/>
      <c r="I17" s="9"/>
    </row>
    <row r="18" customFormat="false" ht="36.55" hidden="false" customHeight="false" outlineLevel="0" collapsed="false">
      <c r="A18" s="15"/>
      <c r="B18" s="9"/>
      <c r="C18" s="9"/>
      <c r="E18" s="11"/>
      <c r="F18" s="11"/>
      <c r="G18" s="11"/>
      <c r="H18" s="11"/>
      <c r="I18" s="9"/>
    </row>
    <row r="19" customFormat="false" ht="13.8" hidden="false" customHeight="false" outlineLevel="0" collapsed="false">
      <c r="A19" s="15"/>
      <c r="B19" s="9"/>
      <c r="C19" s="9"/>
      <c r="E19" s="11"/>
      <c r="F19" s="11"/>
      <c r="G19" s="11"/>
      <c r="H19" s="11"/>
      <c r="I19" s="9"/>
    </row>
    <row r="20" customFormat="false" ht="35.05" hidden="false" customHeight="false" outlineLevel="0" collapsed="false">
      <c r="A20" s="15"/>
      <c r="B20" s="9"/>
      <c r="C20" s="9"/>
      <c r="E20" s="11"/>
      <c r="F20" s="11"/>
      <c r="G20" s="11"/>
      <c r="H20" s="11"/>
      <c r="I20" s="9"/>
    </row>
    <row r="21" customFormat="false" ht="23.85" hidden="false" customHeight="false" outlineLevel="0" collapsed="false">
      <c r="A21" s="15"/>
      <c r="B21" s="9"/>
      <c r="C21" s="9"/>
      <c r="E21" s="11"/>
      <c r="F21" s="11"/>
      <c r="G21" s="11"/>
      <c r="H21" s="11"/>
      <c r="I21" s="11"/>
    </row>
    <row r="22" customFormat="false" ht="35.05" hidden="false" customHeight="false" outlineLevel="0" collapsed="false">
      <c r="A22" s="15"/>
      <c r="B22" s="9"/>
      <c r="C22" s="9"/>
      <c r="E22" s="11"/>
      <c r="F22" s="11"/>
      <c r="G22" s="11"/>
      <c r="H22" s="11"/>
      <c r="I22" s="9"/>
    </row>
    <row r="23" customFormat="false" ht="46.25" hidden="false" customHeight="false" outlineLevel="0" collapsed="false">
      <c r="A23" s="15"/>
      <c r="B23" s="9"/>
      <c r="C23" s="9"/>
      <c r="E23" s="11"/>
      <c r="F23" s="11"/>
      <c r="G23" s="11"/>
      <c r="H23" s="11"/>
      <c r="I23" s="11"/>
    </row>
    <row r="24" customFormat="false" ht="46.25" hidden="false" customHeight="false" outlineLevel="0" collapsed="false">
      <c r="A24" s="15"/>
      <c r="B24" s="9"/>
      <c r="C24" s="9"/>
      <c r="E24" s="11"/>
      <c r="F24" s="11"/>
      <c r="G24" s="11"/>
      <c r="H24" s="11"/>
      <c r="I24" s="9"/>
    </row>
    <row r="25" customFormat="false" ht="46.25" hidden="false" customHeight="false" outlineLevel="0" collapsed="false">
      <c r="A25" s="15"/>
      <c r="B25" s="9"/>
      <c r="C25" s="9"/>
      <c r="E25" s="11"/>
      <c r="F25" s="11"/>
      <c r="G25" s="11"/>
      <c r="H25" s="11"/>
      <c r="I25" s="9"/>
    </row>
    <row r="26" customFormat="false" ht="13.8" hidden="false" customHeight="false" outlineLevel="0" collapsed="false">
      <c r="A26" s="15"/>
      <c r="B26" s="9"/>
      <c r="C26" s="9"/>
      <c r="E26" s="11"/>
      <c r="F26" s="11"/>
      <c r="G26" s="11"/>
      <c r="H26" s="11"/>
      <c r="I26" s="9"/>
    </row>
    <row r="27" customFormat="false" ht="68.65" hidden="false" customHeight="false" outlineLevel="0" collapsed="false">
      <c r="A27" s="15"/>
      <c r="B27" s="9"/>
      <c r="C27" s="9"/>
      <c r="E27" s="11"/>
      <c r="F27" s="11"/>
      <c r="G27" s="11"/>
      <c r="H27" s="11"/>
      <c r="I27" s="9"/>
    </row>
    <row r="28" customFormat="false" ht="68.65" hidden="false" customHeight="false" outlineLevel="0" collapsed="false">
      <c r="A28" s="15"/>
      <c r="B28" s="9"/>
      <c r="C28" s="9"/>
      <c r="E28" s="11"/>
      <c r="F28" s="11"/>
      <c r="G28" s="11"/>
      <c r="H28" s="11"/>
      <c r="I28" s="11"/>
    </row>
    <row r="29" customFormat="false" ht="46.25" hidden="false" customHeight="false" outlineLevel="0" collapsed="false">
      <c r="A29" s="15"/>
      <c r="B29" s="9"/>
      <c r="C29" s="9"/>
      <c r="E29" s="11"/>
      <c r="F29" s="11"/>
      <c r="G29" s="11"/>
      <c r="H29" s="11"/>
      <c r="I29" s="9"/>
    </row>
    <row r="30" customFormat="false" ht="23.85" hidden="false" customHeight="false" outlineLevel="0" collapsed="false">
      <c r="A30" s="15"/>
      <c r="B30" s="9"/>
      <c r="C30" s="9"/>
      <c r="E30" s="11"/>
      <c r="F30" s="11"/>
      <c r="G30" s="11"/>
      <c r="H30" s="11"/>
      <c r="I30" s="9"/>
    </row>
    <row r="31" customFormat="false" ht="35.05" hidden="false" customHeight="false" outlineLevel="0" collapsed="false">
      <c r="A31" s="9"/>
      <c r="B31" s="9"/>
      <c r="C31" s="9"/>
      <c r="E31" s="11"/>
      <c r="F31" s="11"/>
      <c r="G31" s="11"/>
      <c r="H31" s="11"/>
      <c r="I31" s="9"/>
    </row>
    <row r="32" customFormat="false" ht="35.05" hidden="false" customHeight="false" outlineLevel="0" collapsed="false">
      <c r="A32" s="22"/>
      <c r="B32" s="22"/>
      <c r="C32" s="22"/>
      <c r="D32" s="27"/>
      <c r="E32" s="20"/>
      <c r="F32" s="24"/>
      <c r="G32" s="24"/>
      <c r="H32" s="24"/>
      <c r="I32" s="24"/>
    </row>
    <row r="33" customFormat="false" ht="35.05" hidden="false" customHeight="false" outlineLevel="0" collapsed="false"/>
    <row r="34" customFormat="false" ht="23.85" hidden="false" customHeight="false" outlineLevel="0" collapsed="false"/>
    <row r="35" customFormat="false" ht="35.05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23.85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8.6796875" defaultRowHeight="12.8" zeroHeight="false" outlineLevelRow="0" outlineLevelCol="0"/>
  <cols>
    <col collapsed="false" customWidth="true" hidden="false" outlineLevel="0" max="3" min="1" style="17" width="14.18"/>
    <col collapsed="false" customWidth="true" hidden="false" outlineLevel="0" max="4" min="4" style="10" width="14.18"/>
    <col collapsed="false" customWidth="true" hidden="false" outlineLevel="0" max="8" min="5" style="18" width="14.18"/>
    <col collapsed="false" customWidth="true" hidden="false" outlineLevel="0" max="10" min="9" style="17" width="14.18"/>
    <col collapsed="false" customWidth="true" hidden="false" outlineLevel="0" max="11" min="11" style="17" width="24.33"/>
    <col collapsed="false" customWidth="false" hidden="false" outlineLevel="0" max="13" min="12" style="17" width="8.68"/>
    <col collapsed="false" customWidth="true" hidden="false" outlineLevel="0" max="14" min="14" style="17" width="21.83"/>
  </cols>
  <sheetData>
    <row r="1" customFormat="false" ht="12.8" hidden="false" customHeight="false" outlineLevel="0" collapsed="false">
      <c r="A1" s="12"/>
      <c r="B1" s="12"/>
      <c r="C1" s="12"/>
      <c r="D1" s="12"/>
      <c r="E1" s="13"/>
      <c r="F1" s="13"/>
      <c r="G1" s="13"/>
      <c r="H1" s="13"/>
      <c r="I1" s="12"/>
      <c r="J1" s="12"/>
      <c r="K1" s="12"/>
      <c r="L1" s="12"/>
      <c r="M1" s="12"/>
      <c r="N1" s="12"/>
    </row>
    <row r="2" customFormat="false" ht="12.8" hidden="false" customHeight="false" outlineLevel="0" collapsed="false">
      <c r="A2" s="14" t="s">
        <v>22</v>
      </c>
      <c r="B2" s="12"/>
      <c r="C2" s="12" t="s">
        <v>52</v>
      </c>
      <c r="D2" s="12"/>
      <c r="E2" s="13" t="s">
        <v>2</v>
      </c>
      <c r="F2" s="13"/>
      <c r="G2" s="13" t="s">
        <v>3</v>
      </c>
      <c r="H2" s="13" t="s">
        <v>24</v>
      </c>
      <c r="I2" s="12"/>
      <c r="J2" s="12"/>
      <c r="K2" s="12"/>
      <c r="L2" s="12"/>
      <c r="M2" s="12"/>
      <c r="N2" s="12"/>
    </row>
    <row r="3" customFormat="false" ht="12.8" hidden="false" customHeight="false" outlineLevel="0" collapsed="false">
      <c r="A3" s="12"/>
      <c r="B3" s="12"/>
      <c r="C3" s="12"/>
      <c r="D3" s="12"/>
      <c r="E3" s="13"/>
      <c r="F3" s="13"/>
      <c r="G3" s="13"/>
      <c r="H3" s="13"/>
      <c r="I3" s="12"/>
      <c r="J3" s="12"/>
      <c r="K3" s="12"/>
      <c r="L3" s="12"/>
      <c r="M3" s="12"/>
      <c r="N3" s="12"/>
    </row>
    <row r="4" customFormat="false" ht="12.8" hidden="false" customHeight="false" outlineLevel="0" collapsed="false">
      <c r="A4" s="12" t="s">
        <v>5</v>
      </c>
      <c r="B4" s="12" t="s">
        <v>6</v>
      </c>
      <c r="C4" s="12" t="s">
        <v>7</v>
      </c>
      <c r="D4" s="12" t="s">
        <v>32</v>
      </c>
      <c r="E4" s="13" t="s">
        <v>9</v>
      </c>
      <c r="F4" s="13" t="s">
        <v>10</v>
      </c>
      <c r="G4" s="13" t="s">
        <v>11</v>
      </c>
      <c r="H4" s="13" t="s">
        <v>12</v>
      </c>
      <c r="I4" s="12"/>
      <c r="J4" s="12"/>
      <c r="K4" s="12"/>
      <c r="L4" s="12"/>
      <c r="M4" s="12"/>
      <c r="N4" s="12"/>
    </row>
    <row r="6" customFormat="false" ht="12.8" hidden="false" customHeight="false" outlineLevel="0" collapsed="false">
      <c r="A6" s="15" t="n">
        <v>45382</v>
      </c>
      <c r="B6" s="17" t="s">
        <v>30</v>
      </c>
      <c r="C6" s="17" t="s">
        <v>53</v>
      </c>
      <c r="D6" s="10" t="n">
        <v>7</v>
      </c>
      <c r="H6" s="18" t="n">
        <f aca="false">Bal!H5-F6+E6</f>
        <v>0</v>
      </c>
    </row>
    <row r="7" customFormat="false" ht="23.85" hidden="false" customHeight="false" outlineLevel="0" collapsed="false">
      <c r="A7" s="15"/>
      <c r="C7" s="17" t="s">
        <v>54</v>
      </c>
      <c r="E7" s="18" t="e">
        <f aca="false">[2]BkAc!F7</f>
        <v>#N/A</v>
      </c>
      <c r="H7" s="18" t="e">
        <f aca="false">Bal!H6-F7+E7</f>
        <v>#N/A</v>
      </c>
    </row>
    <row r="8" customFormat="false" ht="23.85" hidden="false" customHeight="false" outlineLevel="0" collapsed="false">
      <c r="A8" s="15"/>
      <c r="C8" s="17" t="s">
        <v>55</v>
      </c>
      <c r="E8" s="18" t="e">
        <f aca="false">[2]CiH!F7</f>
        <v>#N/A</v>
      </c>
      <c r="H8" s="18" t="e">
        <f aca="false">Bal!H7-F8+E8</f>
        <v>#N/A</v>
      </c>
    </row>
    <row r="9" customFormat="false" ht="46.25" hidden="false" customHeight="false" outlineLevel="0" collapsed="false">
      <c r="A9" s="15"/>
      <c r="C9" s="17" t="s">
        <v>23</v>
      </c>
      <c r="E9" s="18" t="e">
        <f aca="false">[2]Inst!F10</f>
        <v>#N/A</v>
      </c>
      <c r="H9" s="18" t="e">
        <f aca="false">Bal!H8-F9+E9</f>
        <v>#N/A</v>
      </c>
    </row>
    <row r="10" customFormat="false" ht="13.8" hidden="false" customHeight="false" outlineLevel="0" collapsed="false">
      <c r="A10" s="15" t="n">
        <v>45382</v>
      </c>
      <c r="B10" s="17" t="s">
        <v>44</v>
      </c>
      <c r="C10" s="17" t="s">
        <v>48</v>
      </c>
      <c r="D10" s="10" t="n">
        <v>13</v>
      </c>
      <c r="F10" s="18" t="e">
        <f aca="false">[2]CapAc!E9</f>
        <v>#N/A</v>
      </c>
      <c r="H10" s="18" t="e">
        <f aca="false">Bal!H9-F10+E10</f>
        <v>#N/A</v>
      </c>
    </row>
    <row r="11" customFormat="false" ht="13.8" hidden="false" customHeight="false" outlineLevel="0" collapsed="false">
      <c r="E11" s="18" t="e">
        <f aca="false">SUM(E6:E10)</f>
        <v>#N/A</v>
      </c>
      <c r="F11" s="18" t="e">
        <f aca="false">SUM(F6:F10)</f>
        <v>#N/A</v>
      </c>
    </row>
    <row r="12" customFormat="false" ht="35.05" hidden="false" customHeight="false" outlineLevel="0" collapsed="false"/>
    <row r="13" customFormat="false" ht="13.8" hidden="false" customHeight="false" outlineLevel="0" collapsed="false"/>
    <row r="14" customFormat="false" ht="46.25" hidden="false" customHeight="false" outlineLevel="0" collapsed="false"/>
    <row r="15" customFormat="false" ht="81.3" hidden="false" customHeight="false" outlineLevel="0" collapsed="false">
      <c r="A15" s="19" t="s">
        <v>56</v>
      </c>
      <c r="B15" s="19" t="s">
        <v>57</v>
      </c>
      <c r="C15" s="19" t="s">
        <v>58</v>
      </c>
      <c r="D15" s="12"/>
      <c r="E15" s="20" t="s">
        <v>59</v>
      </c>
      <c r="F15" s="20"/>
      <c r="G15" s="20"/>
      <c r="H15" s="20"/>
      <c r="I15" s="19"/>
    </row>
    <row r="16" customFormat="false" ht="13.8" hidden="false" customHeight="false" outlineLevel="0" collapsed="false">
      <c r="A16" s="19"/>
      <c r="B16" s="19" t="s">
        <v>60</v>
      </c>
      <c r="C16" s="19"/>
      <c r="D16" s="12"/>
      <c r="E16" s="20"/>
      <c r="F16" s="20"/>
      <c r="G16" s="20"/>
      <c r="H16" s="20"/>
      <c r="I16" s="19"/>
    </row>
    <row r="17" customFormat="false" ht="13.8" hidden="false" customHeight="false" outlineLevel="0" collapsed="false">
      <c r="A17" s="19"/>
      <c r="B17" s="19"/>
      <c r="C17" s="19" t="s">
        <v>52</v>
      </c>
      <c r="D17" s="12"/>
      <c r="E17" s="20"/>
      <c r="F17" s="20"/>
      <c r="G17" s="20"/>
      <c r="H17" s="20"/>
      <c r="I17" s="19"/>
    </row>
    <row r="18" customFormat="false" ht="36.55" hidden="false" customHeight="false" outlineLevel="0" collapsed="false">
      <c r="A18" s="28"/>
      <c r="B18" s="29" t="s">
        <v>61</v>
      </c>
      <c r="C18" s="30"/>
      <c r="D18" s="31"/>
      <c r="E18" s="11"/>
      <c r="F18" s="32" t="s">
        <v>62</v>
      </c>
      <c r="G18" s="33"/>
      <c r="H18" s="33"/>
      <c r="I18" s="34"/>
    </row>
    <row r="19" customFormat="false" ht="13.8" hidden="false" customHeight="false" outlineLevel="0" collapsed="false">
      <c r="A19" s="9"/>
      <c r="B19" s="19"/>
      <c r="C19" s="9"/>
      <c r="E19" s="11"/>
      <c r="F19" s="20"/>
      <c r="G19" s="11"/>
      <c r="H19" s="11"/>
      <c r="I19" s="9"/>
    </row>
    <row r="20" customFormat="false" ht="35.05" hidden="false" customHeight="false" outlineLevel="0" collapsed="false">
      <c r="A20" s="15" t="n">
        <v>45016</v>
      </c>
      <c r="B20" s="9" t="s">
        <v>44</v>
      </c>
      <c r="C20" s="9" t="s">
        <v>48</v>
      </c>
      <c r="D20" s="26" t="e">
        <f aca="false">[2]CapAc!E9</f>
        <v>#N/A</v>
      </c>
      <c r="E20" s="11"/>
      <c r="F20" s="11" t="s">
        <v>63</v>
      </c>
      <c r="G20" s="11" t="s">
        <v>64</v>
      </c>
      <c r="H20" s="11"/>
      <c r="I20" s="9" t="n">
        <v>0</v>
      </c>
    </row>
    <row r="21" customFormat="false" ht="23.85" hidden="false" customHeight="false" outlineLevel="0" collapsed="false">
      <c r="A21" s="15" t="n">
        <v>45016</v>
      </c>
      <c r="B21" s="9" t="s">
        <v>65</v>
      </c>
      <c r="C21" s="9" t="s">
        <v>66</v>
      </c>
      <c r="D21" s="10" t="n">
        <v>0</v>
      </c>
      <c r="E21" s="11"/>
      <c r="F21" s="11" t="s">
        <v>30</v>
      </c>
      <c r="G21" s="11" t="s">
        <v>53</v>
      </c>
      <c r="H21" s="11"/>
      <c r="I21" s="9"/>
    </row>
    <row r="22" customFormat="false" ht="35.05" hidden="false" customHeight="false" outlineLevel="0" collapsed="false">
      <c r="A22" s="15" t="n">
        <v>45016</v>
      </c>
      <c r="B22" s="9" t="s">
        <v>67</v>
      </c>
      <c r="C22" s="9" t="s">
        <v>68</v>
      </c>
      <c r="D22" s="10" t="n">
        <v>0</v>
      </c>
      <c r="E22" s="11"/>
      <c r="F22" s="11" t="s">
        <v>69</v>
      </c>
      <c r="G22" s="11" t="s">
        <v>70</v>
      </c>
      <c r="H22" s="11"/>
      <c r="I22" s="9"/>
    </row>
    <row r="23" customFormat="false" ht="46.25" hidden="false" customHeight="false" outlineLevel="0" collapsed="false">
      <c r="A23" s="15" t="n">
        <v>45016</v>
      </c>
      <c r="B23" s="9" t="s">
        <v>71</v>
      </c>
      <c r="C23" s="9" t="s">
        <v>72</v>
      </c>
      <c r="D23" s="10" t="n">
        <v>0</v>
      </c>
      <c r="E23" s="11"/>
      <c r="F23" s="11" t="s">
        <v>73</v>
      </c>
      <c r="G23" s="11"/>
      <c r="H23" s="11" t="s">
        <v>74</v>
      </c>
      <c r="I23" s="9" t="n">
        <v>0</v>
      </c>
      <c r="N23" s="18"/>
    </row>
    <row r="24" customFormat="false" ht="46.25" hidden="false" customHeight="false" outlineLevel="0" collapsed="false">
      <c r="A24" s="15" t="n">
        <v>45016</v>
      </c>
      <c r="B24" s="9"/>
      <c r="C24" s="9"/>
      <c r="E24" s="11"/>
      <c r="F24" s="11" t="s">
        <v>75</v>
      </c>
      <c r="G24" s="11"/>
      <c r="H24" s="11" t="s">
        <v>76</v>
      </c>
      <c r="I24" s="11" t="e">
        <f aca="false">[2]BkAc!F7</f>
        <v>#N/A</v>
      </c>
      <c r="N24" s="11"/>
    </row>
    <row r="25" customFormat="false" ht="46.25" hidden="false" customHeight="false" outlineLevel="0" collapsed="false">
      <c r="A25" s="15" t="n">
        <v>45016</v>
      </c>
      <c r="B25" s="9"/>
      <c r="C25" s="9"/>
      <c r="E25" s="11"/>
      <c r="F25" s="11" t="s">
        <v>77</v>
      </c>
      <c r="G25" s="11"/>
      <c r="H25" s="11" t="s">
        <v>78</v>
      </c>
      <c r="I25" s="9" t="n">
        <v>0</v>
      </c>
      <c r="K25" s="18"/>
      <c r="N25" s="18"/>
    </row>
    <row r="26" customFormat="false" ht="13.8" hidden="false" customHeight="false" outlineLevel="0" collapsed="false">
      <c r="A26" s="15" t="n">
        <v>45016</v>
      </c>
      <c r="B26" s="9"/>
      <c r="C26" s="9"/>
      <c r="E26" s="11"/>
      <c r="F26" s="11" t="s">
        <v>79</v>
      </c>
      <c r="G26" s="11"/>
      <c r="H26" s="11" t="s">
        <v>80</v>
      </c>
      <c r="I26" s="11" t="e">
        <f aca="false">[2]CiH!F7</f>
        <v>#N/A</v>
      </c>
      <c r="N26" s="11"/>
    </row>
    <row r="27" customFormat="false" ht="68.65" hidden="false" customHeight="false" outlineLevel="0" collapsed="false">
      <c r="A27" s="15" t="n">
        <v>45016</v>
      </c>
      <c r="B27" s="9"/>
      <c r="C27" s="9"/>
      <c r="E27" s="11"/>
      <c r="F27" s="11" t="s">
        <v>81</v>
      </c>
      <c r="G27" s="11" t="s">
        <v>82</v>
      </c>
      <c r="H27" s="11"/>
      <c r="I27" s="9"/>
      <c r="N27" s="18"/>
    </row>
    <row r="28" customFormat="false" ht="68.65" hidden="false" customHeight="false" outlineLevel="0" collapsed="false">
      <c r="A28" s="15" t="n">
        <v>45016</v>
      </c>
      <c r="B28" s="9"/>
      <c r="C28" s="9"/>
      <c r="E28" s="11"/>
      <c r="F28" s="11" t="s">
        <v>83</v>
      </c>
      <c r="G28" s="11"/>
      <c r="H28" s="11" t="s">
        <v>83</v>
      </c>
      <c r="I28" s="9" t="n">
        <v>0</v>
      </c>
    </row>
    <row r="29" customFormat="false" ht="46.25" hidden="false" customHeight="false" outlineLevel="0" collapsed="false">
      <c r="A29" s="15" t="n">
        <v>45016</v>
      </c>
      <c r="B29" s="9"/>
      <c r="C29" s="9"/>
      <c r="E29" s="11"/>
      <c r="F29" s="11" t="s">
        <v>84</v>
      </c>
      <c r="G29" s="11"/>
      <c r="H29" s="11" t="s">
        <v>85</v>
      </c>
      <c r="I29" s="9" t="n">
        <v>0</v>
      </c>
    </row>
    <row r="30" customFormat="false" ht="23.85" hidden="false" customHeight="false" outlineLevel="0" collapsed="false">
      <c r="A30" s="15" t="n">
        <v>45016</v>
      </c>
      <c r="B30" s="9"/>
      <c r="C30" s="9"/>
      <c r="E30" s="11"/>
      <c r="F30" s="11" t="s">
        <v>86</v>
      </c>
      <c r="G30" s="11" t="s">
        <v>86</v>
      </c>
      <c r="H30" s="11"/>
      <c r="I30" s="9" t="n">
        <v>0</v>
      </c>
    </row>
    <row r="31" customFormat="false" ht="35.05" hidden="false" customHeight="false" outlineLevel="0" collapsed="false">
      <c r="A31" s="15" t="n">
        <v>45016</v>
      </c>
      <c r="B31" s="9"/>
      <c r="C31" s="9"/>
      <c r="E31" s="11"/>
      <c r="F31" s="11" t="s">
        <v>23</v>
      </c>
      <c r="G31" s="11" t="s">
        <v>23</v>
      </c>
      <c r="H31" s="11"/>
      <c r="I31" s="11" t="e">
        <f aca="false">[2]Inst!F10</f>
        <v>#N/A</v>
      </c>
      <c r="K31" s="18"/>
    </row>
    <row r="32" customFormat="false" ht="35.05" hidden="false" customHeight="false" outlineLevel="0" collapsed="false">
      <c r="A32" s="15" t="n">
        <v>45016</v>
      </c>
      <c r="B32" s="9"/>
      <c r="C32" s="9"/>
      <c r="E32" s="11"/>
      <c r="F32" s="11" t="s">
        <v>87</v>
      </c>
      <c r="G32" s="11" t="s">
        <v>88</v>
      </c>
      <c r="H32" s="11"/>
      <c r="I32" s="9" t="n">
        <v>0</v>
      </c>
      <c r="K32" s="18"/>
    </row>
    <row r="33" customFormat="false" ht="35.05" hidden="false" customHeight="false" outlineLevel="0" collapsed="false">
      <c r="A33" s="15" t="n">
        <v>45016</v>
      </c>
      <c r="B33" s="9"/>
      <c r="C33" s="9"/>
      <c r="E33" s="11"/>
      <c r="F33" s="11"/>
      <c r="G33" s="11"/>
      <c r="H33" s="11"/>
      <c r="I33" s="9"/>
      <c r="K33" s="18"/>
    </row>
    <row r="34" customFormat="false" ht="23.85" hidden="false" customHeight="false" outlineLevel="0" collapsed="false">
      <c r="A34" s="9"/>
      <c r="B34" s="9"/>
      <c r="C34" s="9"/>
      <c r="E34" s="11"/>
      <c r="F34" s="11"/>
      <c r="G34" s="11"/>
      <c r="H34" s="11"/>
      <c r="I34" s="9"/>
      <c r="N34" s="18"/>
    </row>
    <row r="35" customFormat="false" ht="35.05" hidden="false" customHeight="false" outlineLevel="0" collapsed="false">
      <c r="A35" s="35"/>
      <c r="B35" s="29"/>
      <c r="C35" s="29" t="s">
        <v>89</v>
      </c>
      <c r="D35" s="36" t="e">
        <f aca="false">SUM(D20:D33)</f>
        <v>#N/A</v>
      </c>
      <c r="E35" s="20"/>
      <c r="F35" s="32" t="s">
        <v>89</v>
      </c>
      <c r="G35" s="37"/>
      <c r="H35" s="37"/>
      <c r="I35" s="38" t="e">
        <f aca="false">SUM(I20:I33)</f>
        <v>#N/A</v>
      </c>
      <c r="N35" s="18"/>
    </row>
    <row r="36" customFormat="false" ht="13.8" hidden="false" customHeight="false" outlineLevel="0" collapsed="false">
      <c r="N36" s="18"/>
    </row>
    <row r="37" customFormat="false" ht="13.8" hidden="false" customHeight="false" outlineLevel="0" collapsed="false"/>
    <row r="38" customFormat="false" ht="23.85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2026-05-13T18:53:16Z</dcterms:created>
  <dc:creator/>
  <dc:description/>
  <dc:language>en-IN</dc:language>
  <cp:lastModifiedBy/>
  <dcterms:modified xsi:type="dcterms:W3CDTF">2026-07-18T11:09:39Z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