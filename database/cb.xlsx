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<sst xmlns="http://schemas.openxmlformats.org/spreadsheetml/2006/main" count="40" uniqueCount="30">
  <si>
    <t xml:space="preserve">Test2017-2018.xlsx</t>
  </si>
  <si>
    <t xml:space="preserve">gng</t>
  </si>
  <si>
    <t xml:space="preserve">Status:</t>
  </si>
  <si>
    <t xml:space="preserve">Individual</t>
  </si>
  <si>
    <t xml:space="preserve">CASHBOOK</t>
  </si>
  <si>
    <t xml:space="preserve">PAN:</t>
  </si>
  <si>
    <t xml:space="preserve">ABNPG8092N</t>
  </si>
  <si>
    <t xml:space="preserve">Asst.Yr.</t>
  </si>
  <si>
    <t xml:space="preserve">Month</t>
  </si>
  <si>
    <t xml:space="preserve">Date</t>
  </si>
  <si>
    <t xml:space="preserve">Reciept A/c</t>
  </si>
  <si>
    <t xml:space="preserve">Reciept Particulars</t>
  </si>
  <si>
    <t xml:space="preserve">L.F. No.</t>
  </si>
  <si>
    <t xml:space="preserve">VNH</t>
  </si>
  <si>
    <t xml:space="preserve">Cash</t>
  </si>
  <si>
    <t xml:space="preserve">Chq.</t>
  </si>
  <si>
    <t xml:space="preserve">Total</t>
  </si>
  <si>
    <t xml:space="preserve">Payment A/c</t>
  </si>
  <si>
    <t xml:space="preserve">Payment Particulars</t>
  </si>
  <si>
    <t xml:space="preserve">Balance</t>
  </si>
  <si>
    <t xml:space="preserve">B/F</t>
  </si>
  <si>
    <t xml:space="preserve">Anurag</t>
  </si>
  <si>
    <t xml:space="preserve"> </t>
  </si>
  <si>
    <t xml:space="preserve">Patients</t>
  </si>
  <si>
    <t xml:space="preserve">CMS/ LIPL PMT APR16 - C1</t>
  </si>
  <si>
    <t xml:space="preserve">ICICI</t>
  </si>
  <si>
    <t xml:space="preserve">Misc.</t>
  </si>
  <si>
    <t xml:space="preserve">Veh.Exp.</t>
  </si>
  <si>
    <t xml:space="preserve">Petrol</t>
  </si>
  <si>
    <t xml:space="preserve">C/F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</si>
</sst>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;@"/>
    <numFmt numFmtId="166" formatCode="dd/mm/yyyy"/>
    <numFmt numFmtId="167" formatCode="0"/>
    <numFmt numFmtId="168" formatCode="0.00"/>
    <numFmt numFmtId="169" formatCode="#,##0.00;\-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2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5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A1" activeCellId="0" sqref="A1"/>
    </sheetView>
  </sheetViews>
  <sheetFormatPr defaultColWidth="8.6796875" defaultRowHeight="13.2" zeroHeight="false" outlineLevelRow="0" outlineLevelCol="0"/>
  <cols>
    <col collapsed="false" customWidth="true" hidden="false" outlineLevel="0" max="1" min="1" style="1" width="18.65"/>
    <col collapsed="false" customWidth="true" hidden="false" outlineLevel="0" max="2" min="2" style="2" width="11.5"/>
    <col collapsed="false" customWidth="true" hidden="false" outlineLevel="0" max="3" min="3" style="2" width="26.12"/>
    <col collapsed="false" customWidth="true" hidden="false" outlineLevel="0" max="4" min="4" style="3" width="8.27"/>
    <col collapsed="false" customWidth="true" hidden="false" outlineLevel="0" max="5" min="5" style="4" width="9.68"/>
    <col collapsed="false" customWidth="true" hidden="false" outlineLevel="0" max="6" min="6" style="3" width="7.67"/>
    <col collapsed="false" customWidth="true" hidden="false" outlineLevel="0" max="7" min="7" style="3" width="12.3"/>
    <col collapsed="false" customWidth="true" hidden="false" outlineLevel="0" max="8" min="8" style="2" width="6.96"/>
    <col collapsed="false" customWidth="true" hidden="false" outlineLevel="0" max="9" min="9" style="4" width="6.24"/>
    <col collapsed="false" customWidth="true" hidden="false" outlineLevel="0" max="10" min="10" style="5" width="13.61"/>
    <col collapsed="false" customWidth="true" hidden="false" outlineLevel="0" max="11" min="11" style="6" width="12.5"/>
    <col collapsed="false" customWidth="true" hidden="false" outlineLevel="0" max="12" min="12" style="2" width="19.76"/>
    <col collapsed="false" customWidth="true" hidden="false" outlineLevel="0" max="13" min="13" style="3" width="8.27"/>
    <col collapsed="false" customWidth="true" hidden="false" outlineLevel="0" max="14" min="14" style="2" width="6.76"/>
    <col collapsed="false" customWidth="true" hidden="false" outlineLevel="0" max="15" min="15" style="7" width="5.34"/>
    <col collapsed="false" customWidth="true" hidden="false" outlineLevel="0" max="16" min="16" style="8" width="7.67"/>
    <col collapsed="false" customWidth="true" hidden="false" outlineLevel="0" max="17" min="17" style="8" width="8.27"/>
    <col collapsed="false" customWidth="true" hidden="false" outlineLevel="0" max="1025" min="18" style="3" width="10.88"/>
  </cols>
  <sheetData>
    <row r="1" customFormat="false" ht="13.2" hidden="false" customHeight="false" outlineLevel="0" collapsed="false">
      <c r="A1" s="9"/>
      <c r="B1" s="10"/>
      <c r="C1" s="10"/>
      <c r="D1" s="10"/>
      <c r="E1" s="10"/>
      <c r="F1" s="10"/>
      <c r="G1" s="10"/>
      <c r="H1" s="10"/>
      <c r="I1" s="10"/>
      <c r="J1" s="9"/>
      <c r="K1" s="10"/>
      <c r="L1" s="10"/>
      <c r="M1" s="10"/>
      <c r="N1" s="10"/>
      <c r="O1" s="1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</row>
    <row r="2" customFormat="false" ht="13.2" hidden="false" customHeight="false" outlineLevel="0" collapsed="false">
      <c r="A2" s="12" t="s">
        <v>0</v>
      </c>
      <c r="B2" s="13"/>
      <c r="C2" s="13" t="s">
        <v>1</v>
      </c>
      <c r="D2" s="14" t="s">
        <v>2</v>
      </c>
      <c r="E2" s="15" t="s">
        <v>3</v>
      </c>
      <c r="F2" s="15"/>
      <c r="G2" s="15" t="s">
        <v>4</v>
      </c>
      <c r="H2" s="12"/>
      <c r="I2" s="13" t="s">
        <v>5</v>
      </c>
      <c r="J2" s="13" t="s">
        <v>6</v>
      </c>
      <c r="K2" s="14"/>
      <c r="L2" s="15" t="s">
        <v>7</v>
      </c>
      <c r="M2" s="15"/>
      <c r="N2" s="15" t="s">
        <v>8</v>
      </c>
      <c r="O2" s="15" t="str">
        <f aca="false">CHOOSE(MONTH(A6),"Jan","Feb","Mar","Apr","May","Jun","Jul","Aug","Sep","Oct","Nov","Dec")</f>
        <v>Apr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</row>
    <row r="3" customFormat="false" ht="13.2" hidden="false" customHeight="false" outlineLevel="0" collapsed="false">
      <c r="A3" s="9"/>
      <c r="B3" s="10"/>
      <c r="C3" s="10"/>
      <c r="D3" s="10"/>
      <c r="E3" s="10"/>
      <c r="F3" s="10"/>
      <c r="G3" s="16"/>
      <c r="H3" s="10"/>
      <c r="I3" s="10"/>
      <c r="J3" s="9"/>
      <c r="K3" s="10"/>
      <c r="L3" s="10"/>
      <c r="M3" s="10"/>
      <c r="N3" s="10"/>
      <c r="O3" s="1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</row>
    <row r="4" customFormat="false" ht="13.2" hidden="false" customHeight="false" outlineLevel="0" collapsed="false">
      <c r="A4" s="12" t="s">
        <v>9</v>
      </c>
      <c r="B4" s="13" t="s">
        <v>10</v>
      </c>
      <c r="C4" s="13" t="s">
        <v>11</v>
      </c>
      <c r="D4" s="14" t="s">
        <v>12</v>
      </c>
      <c r="E4" s="10" t="s">
        <v>13</v>
      </c>
      <c r="F4" s="15" t="s">
        <v>14</v>
      </c>
      <c r="G4" s="15" t="s">
        <v>14</v>
      </c>
      <c r="H4" s="15" t="s">
        <v>15</v>
      </c>
      <c r="I4" s="15" t="s">
        <v>16</v>
      </c>
      <c r="J4" s="12" t="s">
        <v>9</v>
      </c>
      <c r="K4" s="13" t="s">
        <v>17</v>
      </c>
      <c r="L4" s="13" t="s">
        <v>18</v>
      </c>
      <c r="M4" s="14" t="s">
        <v>12</v>
      </c>
      <c r="N4" s="15" t="s">
        <v>14</v>
      </c>
      <c r="O4" s="15" t="s">
        <v>15</v>
      </c>
      <c r="P4" s="15" t="s">
        <v>16</v>
      </c>
      <c r="Q4" s="15" t="s">
        <v>19</v>
      </c>
      <c r="R4" s="13"/>
      <c r="S4" s="13"/>
      <c r="T4" s="13"/>
    </row>
    <row r="5" customFormat="false" ht="13.2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customFormat="false" ht="13.2" hidden="false" customHeight="false" outlineLevel="0" collapsed="false">
      <c r="A6" s="18" t="n">
        <v>42461</v>
      </c>
      <c r="B6" s="2" t="s">
        <v>19</v>
      </c>
      <c r="C6" s="2" t="s">
        <v>20</v>
      </c>
      <c r="D6" s="17"/>
      <c r="E6" s="2"/>
      <c r="F6" s="17"/>
      <c r="G6" s="8" t="n">
        <f aca="false">SUM(E6:F6)</f>
        <v>0</v>
      </c>
      <c r="I6" s="4" t="n">
        <f aca="false">I5+G6</f>
        <v>0</v>
      </c>
      <c r="J6" s="18" t="n">
        <v>42461</v>
      </c>
      <c r="K6" s="17"/>
      <c r="L6" s="17"/>
      <c r="M6" s="17"/>
      <c r="N6" s="17"/>
      <c r="O6" s="17"/>
      <c r="P6" s="8" t="n">
        <f aca="false">P5+N6</f>
        <v>0</v>
      </c>
      <c r="Q6" s="8" t="n">
        <f aca="false">I6-P6</f>
        <v>0</v>
      </c>
    </row>
    <row r="7" customFormat="false" ht="13.2" hidden="false" customHeight="false" outlineLevel="0" collapsed="false">
      <c r="A7" s="18" t="n">
        <v>42461</v>
      </c>
      <c r="B7" s="2" t="s">
        <v>21</v>
      </c>
      <c r="C7" s="2" t="s">
        <v>22</v>
      </c>
      <c r="D7" s="3" t="n">
        <v>5</v>
      </c>
      <c r="E7" s="2"/>
      <c r="F7" s="3" t="n">
        <v>15000</v>
      </c>
      <c r="G7" s="8" t="n">
        <f aca="false">SUM(E7:F7)</f>
        <v>15000</v>
      </c>
      <c r="I7" s="4" t="n">
        <f aca="false">I6+G7</f>
        <v>15000</v>
      </c>
      <c r="J7" s="18" t="n">
        <v>42461</v>
      </c>
      <c r="K7" s="17"/>
      <c r="L7" s="17"/>
      <c r="M7" s="17"/>
      <c r="N7" s="17"/>
      <c r="O7" s="17"/>
      <c r="P7" s="8" t="n">
        <f aca="false">P6+N7</f>
        <v>0</v>
      </c>
      <c r="Q7" s="8" t="n">
        <f aca="false">I7-P7</f>
        <v>15000</v>
      </c>
    </row>
    <row r="8" customFormat="false" ht="13.2" hidden="false" customHeight="false" outlineLevel="0" collapsed="false">
      <c r="A8" s="19" t="n">
        <v>42482</v>
      </c>
      <c r="B8" s="2" t="s">
        <v>23</v>
      </c>
      <c r="C8" s="20" t="s">
        <v>24</v>
      </c>
      <c r="D8" s="2" t="n">
        <v>10</v>
      </c>
      <c r="F8" s="17"/>
      <c r="G8" s="8" t="n">
        <f aca="false">SUM(E8:F8)</f>
        <v>0</v>
      </c>
      <c r="H8" s="21" t="n">
        <v>400</v>
      </c>
      <c r="I8" s="4" t="n">
        <f aca="false">I7+G8</f>
        <v>15000</v>
      </c>
      <c r="J8" s="19" t="n">
        <v>42482</v>
      </c>
      <c r="K8" s="2" t="s">
        <v>25</v>
      </c>
      <c r="L8" s="2" t="s">
        <v>22</v>
      </c>
      <c r="M8" s="2" t="n">
        <v>6</v>
      </c>
      <c r="N8" s="17"/>
      <c r="O8" s="2" t="n">
        <v>400</v>
      </c>
      <c r="P8" s="8" t="n">
        <f aca="false">P7+N8</f>
        <v>0</v>
      </c>
      <c r="Q8" s="8" t="n">
        <f aca="false">I8-P8</f>
        <v>15000</v>
      </c>
    </row>
    <row r="9" customFormat="false" ht="13.2" hidden="false" customHeight="false" outlineLevel="0" collapsed="false">
      <c r="A9" s="1" t="n">
        <v>42488</v>
      </c>
      <c r="F9" s="17"/>
      <c r="G9" s="8" t="n">
        <f aca="false">SUM(E9:F9)</f>
        <v>0</v>
      </c>
      <c r="I9" s="4" t="n">
        <f aca="false">I8+G9</f>
        <v>15000</v>
      </c>
      <c r="J9" s="1" t="n">
        <v>42488</v>
      </c>
      <c r="K9" s="17"/>
      <c r="L9" s="17"/>
      <c r="M9" s="17"/>
      <c r="N9" s="17"/>
      <c r="O9" s="17"/>
      <c r="P9" s="8" t="n">
        <f aca="false">P8+N9</f>
        <v>0</v>
      </c>
      <c r="Q9" s="8" t="n">
        <f aca="false">I9-P9</f>
        <v>15000</v>
      </c>
    </row>
    <row r="10" customFormat="false" ht="13.2" hidden="false" customHeight="false" outlineLevel="0" collapsed="false">
      <c r="A10" s="1" t="n">
        <v>42488</v>
      </c>
      <c r="F10" s="17"/>
      <c r="G10" s="8" t="n">
        <f aca="false">SUM(E10:F10)</f>
        <v>0</v>
      </c>
      <c r="I10" s="4" t="n">
        <f aca="false">I9+G10</f>
        <v>15000</v>
      </c>
      <c r="J10" s="1" t="n">
        <v>42488</v>
      </c>
      <c r="K10" s="2"/>
      <c r="M10" s="2"/>
      <c r="O10" s="2"/>
      <c r="P10" s="8" t="n">
        <f aca="false">P9+N10</f>
        <v>0</v>
      </c>
      <c r="Q10" s="8" t="n">
        <f aca="false">I10-P10</f>
        <v>15000</v>
      </c>
    </row>
    <row r="11" customFormat="false" ht="13.2" hidden="false" customHeight="false" outlineLevel="0" collapsed="false">
      <c r="A11" s="1" t="n">
        <v>42489</v>
      </c>
      <c r="F11" s="17"/>
      <c r="G11" s="8" t="n">
        <f aca="false">SUM(E11:F11)</f>
        <v>0</v>
      </c>
      <c r="I11" s="4" t="n">
        <f aca="false">I10+G11</f>
        <v>15000</v>
      </c>
      <c r="J11" s="1" t="n">
        <v>42489</v>
      </c>
      <c r="K11" s="2" t="s">
        <v>26</v>
      </c>
      <c r="L11" s="2" t="s">
        <v>22</v>
      </c>
      <c r="M11" s="2" t="n">
        <v>8</v>
      </c>
      <c r="N11" s="2" t="n">
        <v>500</v>
      </c>
      <c r="O11" s="2"/>
      <c r="P11" s="8" t="n">
        <f aca="false">P10+N11</f>
        <v>500</v>
      </c>
      <c r="Q11" s="8" t="n">
        <f aca="false">I11-P11</f>
        <v>14500</v>
      </c>
    </row>
    <row r="12" customFormat="false" ht="13.2" hidden="false" customHeight="false" outlineLevel="0" collapsed="false">
      <c r="A12" s="18" t="n">
        <v>42489</v>
      </c>
      <c r="F12" s="17"/>
      <c r="G12" s="8" t="n">
        <f aca="false">SUM(E12:F12)</f>
        <v>0</v>
      </c>
      <c r="I12" s="4" t="n">
        <f aca="false">I11+G12</f>
        <v>15000</v>
      </c>
      <c r="J12" s="18" t="n">
        <v>42489</v>
      </c>
      <c r="K12" s="17"/>
      <c r="L12" s="17"/>
      <c r="M12" s="17"/>
      <c r="N12" s="17"/>
      <c r="O12" s="17"/>
      <c r="P12" s="8" t="n">
        <f aca="false">P11+N12</f>
        <v>500</v>
      </c>
      <c r="Q12" s="8" t="n">
        <f aca="false">I12-P12</f>
        <v>14500</v>
      </c>
    </row>
    <row r="13" customFormat="false" ht="13.2" hidden="false" customHeight="false" outlineLevel="0" collapsed="false">
      <c r="A13" s="1" t="n">
        <v>42490</v>
      </c>
      <c r="F13" s="17"/>
      <c r="G13" s="8" t="n">
        <f aca="false">SUM(E13:F13)</f>
        <v>0</v>
      </c>
      <c r="I13" s="4" t="n">
        <f aca="false">I12+G13</f>
        <v>15000</v>
      </c>
      <c r="J13" s="1" t="n">
        <v>42490</v>
      </c>
      <c r="K13" s="2" t="s">
        <v>27</v>
      </c>
      <c r="L13" s="2" t="s">
        <v>28</v>
      </c>
      <c r="M13" s="2" t="n">
        <v>15</v>
      </c>
      <c r="N13" s="2" t="n">
        <v>6700</v>
      </c>
      <c r="O13" s="2"/>
      <c r="P13" s="8" t="n">
        <f aca="false">P12+N13</f>
        <v>7200</v>
      </c>
      <c r="Q13" s="8" t="n">
        <f aca="false">I13-P13</f>
        <v>7800</v>
      </c>
    </row>
    <row r="14" customFormat="false" ht="13.2" hidden="false" customHeight="false" outlineLevel="0" collapsed="false">
      <c r="A14" s="1" t="n">
        <v>42490</v>
      </c>
      <c r="F14" s="17"/>
      <c r="G14" s="8" t="n">
        <f aca="false">SUM(E14:F14)</f>
        <v>0</v>
      </c>
      <c r="I14" s="4" t="n">
        <f aca="false">I13+G14</f>
        <v>15000</v>
      </c>
      <c r="J14" s="1" t="n">
        <v>42490</v>
      </c>
      <c r="K14" s="17"/>
      <c r="L14" s="17"/>
      <c r="N14" s="17"/>
      <c r="O14" s="2"/>
      <c r="P14" s="8" t="n">
        <f aca="false">P13+N14</f>
        <v>7200</v>
      </c>
      <c r="Q14" s="8" t="n">
        <f aca="false">I14-P14</f>
        <v>7800</v>
      </c>
    </row>
    <row r="15" customFormat="false" ht="13.2" hidden="false" customHeight="false" outlineLevel="0" collapsed="false">
      <c r="A15" s="1" t="n">
        <v>42490</v>
      </c>
      <c r="F15" s="3" t="n">
        <v>0</v>
      </c>
      <c r="G15" s="8" t="n">
        <f aca="false">SUM(E15:F15)</f>
        <v>0</v>
      </c>
      <c r="I15" s="4" t="n">
        <f aca="false">I14+G15</f>
        <v>15000</v>
      </c>
      <c r="J15" s="1" t="n">
        <v>42490</v>
      </c>
      <c r="K15" s="6" t="s">
        <v>19</v>
      </c>
      <c r="L15" s="2" t="s">
        <v>29</v>
      </c>
      <c r="N15" s="2" t="n">
        <f aca="false">Q14</f>
        <v>7800</v>
      </c>
      <c r="P15" s="8" t="n">
        <f aca="false">P14+N15</f>
        <v>15000</v>
      </c>
      <c r="Q15" s="8" t="n">
        <f aca="false">I15-P15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2026-05-13T18:51:46Z</dcterms:created>
  <dc:creator/>
  <dc:description/>
  <dc:language>en-IN</dc:language>
  <cp:lastModifiedBy/>
  <dcterms:modified xsi:type="dcterms:W3CDTF">2026-05-13T18:52:39Z</dcterms:modified>
  <cp:revision>1</cp:revision>
  <dc:subject/>
  <dc:title/>
</cp:coreProperties>
</file>